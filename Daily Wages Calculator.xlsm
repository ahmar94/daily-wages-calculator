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Daily Wages Calculator\"/>
    </mc:Choice>
  </mc:AlternateContent>
  <xr:revisionPtr revIDLastSave="0" documentId="13_ncr:1_{517AAF70-1EB7-434F-A694-BE10F2BD2E63}" xr6:coauthVersionLast="47" xr6:coauthVersionMax="47" xr10:uidLastSave="{00000000-0000-0000-0000-000000000000}"/>
  <bookViews>
    <workbookView xWindow="-108" yWindow="-108" windowWidth="23256" windowHeight="12456" activeTab="2" xr2:uid="{CD44A4FB-D672-427F-BF0C-63C288A0EB9C}"/>
  </bookViews>
  <sheets>
    <sheet name="Wages Calculator" sheetId="1" r:id="rId1"/>
    <sheet name="Imp Tables" sheetId="2" r:id="rId2"/>
    <sheet name="Total Wages" sheetId="4" r:id="rId3"/>
  </sheets>
  <functionGroups builtInGroupCount="19"/>
  <definedNames>
    <definedName name="_xleta.AND" hidden="1" xlm="1">#NAME?</definedName>
    <definedName name="_xleta.DAY" hidden="1" xlm="1">#NAME?</definedName>
    <definedName name="_xleta.IF" hidden="1" xlm="1">#NAME?</definedName>
    <definedName name="_xleta.MROUND" hidden="1" xlm="1">#NAME?</definedName>
    <definedName name="_xleta.OR" hidden="1" xlm="1">#NAME?</definedName>
    <definedName name="_xleta.ROUND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" l="1"/>
  <c r="C28" i="4"/>
  <c r="AA27" i="4"/>
  <c r="D27" i="4"/>
  <c r="AA26" i="4"/>
  <c r="D26" i="4"/>
  <c r="AA25" i="4"/>
  <c r="D25" i="4"/>
  <c r="AA24" i="4"/>
  <c r="D24" i="4"/>
  <c r="AA23" i="4"/>
  <c r="D23" i="4"/>
  <c r="AA22" i="4"/>
  <c r="D22" i="4"/>
  <c r="AA21" i="4"/>
  <c r="D21" i="4"/>
  <c r="AA20" i="4"/>
  <c r="D20" i="4"/>
  <c r="AA19" i="4"/>
  <c r="D19" i="4"/>
  <c r="AA18" i="4"/>
  <c r="D18" i="4"/>
  <c r="AA17" i="4"/>
  <c r="D17" i="4"/>
  <c r="AA16" i="4"/>
  <c r="D16" i="4"/>
  <c r="AA15" i="4"/>
  <c r="D15" i="4"/>
  <c r="AA14" i="4"/>
  <c r="D14" i="4"/>
  <c r="AA13" i="4"/>
  <c r="D13" i="4"/>
  <c r="AA12" i="4"/>
  <c r="D12" i="4"/>
  <c r="AA11" i="4"/>
  <c r="D11" i="4"/>
  <c r="AA10" i="4"/>
  <c r="D10" i="4"/>
  <c r="AB31" i="1"/>
  <c r="B31" i="1"/>
  <c r="X31" i="1" s="1"/>
  <c r="AB30" i="1"/>
  <c r="B30" i="1"/>
  <c r="X30" i="1" s="1"/>
  <c r="AB29" i="1"/>
  <c r="B29" i="1"/>
  <c r="F29" i="1" s="1"/>
  <c r="AB28" i="1"/>
  <c r="B28" i="1"/>
  <c r="X28" i="1" s="1"/>
  <c r="B27" i="1"/>
  <c r="F27" i="1" s="1"/>
  <c r="AB26" i="1"/>
  <c r="B26" i="1"/>
  <c r="X26" i="1" s="1"/>
  <c r="AB25" i="1"/>
  <c r="B25" i="1"/>
  <c r="X25" i="1" s="1"/>
  <c r="AB24" i="1"/>
  <c r="X24" i="1"/>
  <c r="B24" i="1"/>
  <c r="F24" i="1" s="1"/>
  <c r="P24" i="1" s="1"/>
  <c r="AB23" i="1"/>
  <c r="B23" i="1"/>
  <c r="F23" i="1" s="1"/>
  <c r="AB22" i="1"/>
  <c r="B22" i="1"/>
  <c r="X22" i="1" s="1"/>
  <c r="AB21" i="1"/>
  <c r="B21" i="1"/>
  <c r="X21" i="1" s="1"/>
  <c r="AB20" i="1"/>
  <c r="B20" i="1"/>
  <c r="X20" i="1" s="1"/>
  <c r="B19" i="1"/>
  <c r="F19" i="1" s="1"/>
  <c r="AB18" i="1"/>
  <c r="B18" i="1"/>
  <c r="F18" i="1" s="1"/>
  <c r="B17" i="1"/>
  <c r="F17" i="1" s="1"/>
  <c r="B16" i="1"/>
  <c r="AB16" i="1" s="1"/>
  <c r="B15" i="1"/>
  <c r="F15" i="1" s="1"/>
  <c r="X14" i="1"/>
  <c r="B14" i="1"/>
  <c r="AB14" i="1" s="1"/>
  <c r="J34" i="2"/>
  <c r="J35" i="2"/>
  <c r="D14" i="2"/>
  <c r="A17" i="2"/>
  <c r="F21" i="1" l="1"/>
  <c r="M21" i="1" s="1"/>
  <c r="F22" i="1"/>
  <c r="F25" i="1"/>
  <c r="V25" i="1" s="1"/>
  <c r="X16" i="1"/>
  <c r="X18" i="1"/>
  <c r="X23" i="1"/>
  <c r="F26" i="1"/>
  <c r="V23" i="1"/>
  <c r="T23" i="1"/>
  <c r="R23" i="1"/>
  <c r="P23" i="1"/>
  <c r="O23" i="1"/>
  <c r="M23" i="1"/>
  <c r="P15" i="1"/>
  <c r="R15" i="1" s="1"/>
  <c r="M15" i="1"/>
  <c r="O15" i="1" s="1"/>
  <c r="T15" i="1"/>
  <c r="V15" i="1" s="1"/>
  <c r="M29" i="1"/>
  <c r="V29" i="1"/>
  <c r="T29" i="1"/>
  <c r="R29" i="1"/>
  <c r="P29" i="1"/>
  <c r="O29" i="1"/>
  <c r="T18" i="1"/>
  <c r="R18" i="1"/>
  <c r="P18" i="1"/>
  <c r="O18" i="1"/>
  <c r="M18" i="1"/>
  <c r="V18" i="1"/>
  <c r="P19" i="1"/>
  <c r="M19" i="1"/>
  <c r="W19" i="1" s="1"/>
  <c r="X19" i="1" s="1"/>
  <c r="T19" i="1"/>
  <c r="V19" i="1" s="1"/>
  <c r="R19" i="1"/>
  <c r="T27" i="1"/>
  <c r="R27" i="1"/>
  <c r="P27" i="1"/>
  <c r="O27" i="1"/>
  <c r="M27" i="1"/>
  <c r="V27" i="1"/>
  <c r="P17" i="1"/>
  <c r="R17" i="1" s="1"/>
  <c r="M17" i="1"/>
  <c r="O17" i="1" s="1"/>
  <c r="T17" i="1"/>
  <c r="V17" i="1" s="1"/>
  <c r="O21" i="1"/>
  <c r="R24" i="1"/>
  <c r="AB15" i="1"/>
  <c r="AB17" i="1"/>
  <c r="P21" i="1"/>
  <c r="T24" i="1"/>
  <c r="M26" i="1"/>
  <c r="X27" i="1"/>
  <c r="AB19" i="1"/>
  <c r="R21" i="1"/>
  <c r="V24" i="1"/>
  <c r="O26" i="1"/>
  <c r="AB27" i="1"/>
  <c r="F31" i="1"/>
  <c r="T21" i="1"/>
  <c r="P26" i="1"/>
  <c r="R22" i="1"/>
  <c r="F14" i="1"/>
  <c r="F16" i="1"/>
  <c r="F20" i="1"/>
  <c r="V21" i="1"/>
  <c r="R26" i="1"/>
  <c r="F28" i="1"/>
  <c r="X29" i="1"/>
  <c r="M25" i="1"/>
  <c r="O25" i="1"/>
  <c r="F30" i="1"/>
  <c r="O22" i="1"/>
  <c r="P22" i="1"/>
  <c r="T22" i="1"/>
  <c r="M24" i="1"/>
  <c r="O24" i="1"/>
  <c r="W23" i="1"/>
  <c r="O19" i="1"/>
  <c r="W21" i="1"/>
  <c r="AA28" i="4"/>
  <c r="K36" i="2"/>
  <c r="K42" i="2"/>
  <c r="K41" i="2"/>
  <c r="K40" i="2"/>
  <c r="K39" i="2"/>
  <c r="K38" i="2"/>
  <c r="K37" i="2"/>
  <c r="J36" i="2"/>
  <c r="J42" i="2"/>
  <c r="J41" i="2"/>
  <c r="J40" i="2"/>
  <c r="J39" i="2"/>
  <c r="J38" i="2"/>
  <c r="M15" i="2"/>
  <c r="J24" i="2"/>
  <c r="B15" i="2"/>
  <c r="S15" i="2"/>
  <c r="W15" i="1" l="1"/>
  <c r="X15" i="1" s="1"/>
  <c r="V22" i="1"/>
  <c r="M22" i="1"/>
  <c r="W22" i="1" s="1"/>
  <c r="W24" i="1"/>
  <c r="T25" i="1"/>
  <c r="R25" i="1"/>
  <c r="T26" i="1"/>
  <c r="W26" i="1" s="1"/>
  <c r="V26" i="1"/>
  <c r="P25" i="1"/>
  <c r="W27" i="1"/>
  <c r="V30" i="1"/>
  <c r="T30" i="1"/>
  <c r="R30" i="1"/>
  <c r="P30" i="1"/>
  <c r="O30" i="1"/>
  <c r="M30" i="1"/>
  <c r="W29" i="1"/>
  <c r="V28" i="1"/>
  <c r="T28" i="1"/>
  <c r="R28" i="1"/>
  <c r="P28" i="1"/>
  <c r="O28" i="1"/>
  <c r="M28" i="1"/>
  <c r="T20" i="1"/>
  <c r="V20" i="1"/>
  <c r="R20" i="1"/>
  <c r="P20" i="1"/>
  <c r="O20" i="1"/>
  <c r="M20" i="1"/>
  <c r="T16" i="1"/>
  <c r="R16" i="1"/>
  <c r="P16" i="1"/>
  <c r="V16" i="1"/>
  <c r="O16" i="1"/>
  <c r="M16" i="1"/>
  <c r="W16" i="1" s="1"/>
  <c r="V31" i="1"/>
  <c r="T31" i="1"/>
  <c r="R31" i="1"/>
  <c r="P31" i="1"/>
  <c r="O31" i="1"/>
  <c r="M31" i="1"/>
  <c r="W31" i="1" s="1"/>
  <c r="T14" i="1"/>
  <c r="V14" i="1"/>
  <c r="R14" i="1"/>
  <c r="P14" i="1"/>
  <c r="O14" i="1"/>
  <c r="M14" i="1"/>
  <c r="W18" i="1"/>
  <c r="W17" i="1"/>
  <c r="X17" i="1" s="1"/>
  <c r="P15" i="2"/>
  <c r="S16" i="2"/>
  <c r="P16" i="2"/>
  <c r="C18" i="2"/>
  <c r="E18" i="2" s="1"/>
  <c r="G15" i="2"/>
  <c r="D18" i="2"/>
  <c r="H19" i="2"/>
  <c r="B19" i="2" s="1"/>
  <c r="X32" i="1" l="1"/>
  <c r="W25" i="1"/>
  <c r="W30" i="1"/>
  <c r="W28" i="1"/>
  <c r="W14" i="1"/>
  <c r="W20" i="1"/>
  <c r="M16" i="2"/>
  <c r="F18" i="2"/>
  <c r="B20" i="2"/>
  <c r="C19" i="2"/>
  <c r="D19" i="2"/>
  <c r="E19" i="2" l="1"/>
  <c r="A18" i="2"/>
  <c r="C20" i="2"/>
  <c r="D20" i="2"/>
  <c r="B21" i="2"/>
  <c r="F19" i="2" l="1"/>
  <c r="E20" i="2"/>
  <c r="A19" i="2"/>
  <c r="B22" i="2"/>
  <c r="D21" i="2"/>
  <c r="C21" i="2"/>
  <c r="F20" i="2" l="1"/>
  <c r="E21" i="2"/>
  <c r="A20" i="2"/>
  <c r="B23" i="2"/>
  <c r="C22" i="2"/>
  <c r="D22" i="2"/>
  <c r="F21" i="2" l="1"/>
  <c r="E22" i="2"/>
  <c r="A21" i="2"/>
  <c r="B24" i="2"/>
  <c r="D23" i="2"/>
  <c r="C23" i="2"/>
  <c r="F22" i="2" l="1"/>
  <c r="E23" i="2"/>
  <c r="A22" i="2"/>
  <c r="B25" i="2"/>
  <c r="C24" i="2"/>
  <c r="D24" i="2"/>
  <c r="F23" i="2" l="1"/>
  <c r="A23" i="2"/>
  <c r="E24" i="2"/>
  <c r="F24" i="2" s="1"/>
  <c r="B26" i="2"/>
  <c r="D25" i="2"/>
  <c r="C25" i="2"/>
  <c r="A24" i="2" l="1"/>
  <c r="E25" i="2"/>
  <c r="F25" i="2" s="1"/>
  <c r="B27" i="2"/>
  <c r="D26" i="2"/>
  <c r="C26" i="2"/>
  <c r="E26" i="2" l="1"/>
  <c r="F26" i="2" s="1"/>
  <c r="A25" i="2"/>
  <c r="B28" i="2"/>
  <c r="C27" i="2"/>
  <c r="D27" i="2"/>
  <c r="A26" i="2" l="1"/>
  <c r="E27" i="2"/>
  <c r="F27" i="2" s="1"/>
  <c r="B29" i="2"/>
  <c r="D28" i="2"/>
  <c r="C28" i="2"/>
  <c r="A27" i="2" l="1"/>
  <c r="E28" i="2"/>
  <c r="F28" i="2" s="1"/>
  <c r="B30" i="2"/>
  <c r="C29" i="2"/>
  <c r="D29" i="2"/>
  <c r="A28" i="2" l="1"/>
  <c r="E29" i="2"/>
  <c r="F29" i="2" s="1"/>
  <c r="B31" i="2"/>
  <c r="C30" i="2"/>
  <c r="D30" i="2"/>
  <c r="A29" i="2" l="1"/>
  <c r="E30" i="2"/>
  <c r="F30" i="2" s="1"/>
  <c r="B32" i="2"/>
  <c r="D31" i="2"/>
  <c r="C31" i="2"/>
  <c r="A30" i="2" l="1"/>
  <c r="E31" i="2"/>
  <c r="F31" i="2" s="1"/>
  <c r="B33" i="2"/>
  <c r="C32" i="2"/>
  <c r="D32" i="2"/>
  <c r="A31" i="2" l="1"/>
  <c r="E32" i="2"/>
  <c r="F32" i="2" s="1"/>
  <c r="B34" i="2"/>
  <c r="D33" i="2"/>
  <c r="C33" i="2"/>
  <c r="A32" i="2" l="1"/>
  <c r="E33" i="2"/>
  <c r="F33" i="2" s="1"/>
  <c r="B35" i="2"/>
  <c r="D34" i="2"/>
  <c r="C34" i="2"/>
  <c r="A33" i="2" l="1"/>
  <c r="E34" i="2"/>
  <c r="F34" i="2" s="1"/>
  <c r="B36" i="2"/>
  <c r="D35" i="2"/>
  <c r="C35" i="2"/>
  <c r="A34" i="2" l="1"/>
  <c r="E35" i="2"/>
  <c r="F35" i="2" s="1"/>
  <c r="B37" i="2"/>
  <c r="C36" i="2"/>
  <c r="D36" i="2"/>
  <c r="A35" i="2" l="1"/>
  <c r="E36" i="2"/>
  <c r="F36" i="2" s="1"/>
  <c r="B38" i="2"/>
  <c r="D37" i="2"/>
  <c r="C37" i="2"/>
  <c r="A36" i="2" l="1"/>
  <c r="E37" i="2"/>
  <c r="F37" i="2" s="1"/>
  <c r="B39" i="2"/>
  <c r="C38" i="2"/>
  <c r="D38" i="2"/>
  <c r="A37" i="2" l="1"/>
  <c r="E38" i="2"/>
  <c r="F38" i="2" s="1"/>
  <c r="B40" i="2"/>
  <c r="D39" i="2"/>
  <c r="C39" i="2"/>
  <c r="A38" i="2" l="1"/>
  <c r="E39" i="2"/>
  <c r="F39" i="2" s="1"/>
  <c r="B41" i="2"/>
  <c r="C40" i="2"/>
  <c r="D40" i="2"/>
  <c r="A39" i="2" l="1"/>
  <c r="E40" i="2"/>
  <c r="F40" i="2" s="1"/>
  <c r="B42" i="2"/>
  <c r="D41" i="2"/>
  <c r="C41" i="2"/>
  <c r="A40" i="2" l="1"/>
  <c r="E41" i="2"/>
  <c r="F41" i="2" s="1"/>
  <c r="B43" i="2"/>
  <c r="C42" i="2"/>
  <c r="D42" i="2"/>
  <c r="A41" i="2" l="1"/>
  <c r="E42" i="2"/>
  <c r="F42" i="2" s="1"/>
  <c r="B44" i="2"/>
  <c r="C43" i="2"/>
  <c r="D43" i="2"/>
  <c r="A42" i="2" l="1"/>
  <c r="E43" i="2"/>
  <c r="F43" i="2" s="1"/>
  <c r="B45" i="2"/>
  <c r="C44" i="2"/>
  <c r="D44" i="2"/>
  <c r="A43" i="2" l="1"/>
  <c r="E44" i="2"/>
  <c r="F44" i="2" s="1"/>
  <c r="B46" i="2"/>
  <c r="C45" i="2"/>
  <c r="D45" i="2"/>
  <c r="A44" i="2" l="1"/>
  <c r="E45" i="2"/>
  <c r="F45" i="2" s="1"/>
  <c r="B47" i="2"/>
  <c r="B48" i="2" s="1"/>
  <c r="D46" i="2"/>
  <c r="C46" i="2"/>
  <c r="A45" i="2" l="1"/>
  <c r="E46" i="2"/>
  <c r="F46" i="2" s="1"/>
  <c r="AA45" i="1"/>
  <c r="AB45" i="1" s="1"/>
  <c r="C47" i="2"/>
  <c r="D47" i="2"/>
  <c r="A46" i="2" l="1"/>
  <c r="E47" i="2"/>
  <c r="F47" i="2" s="1"/>
  <c r="D48" i="2"/>
  <c r="C48" i="2"/>
  <c r="E48" i="2" l="1"/>
  <c r="M19" i="2" s="1"/>
  <c r="M21" i="2" s="1"/>
  <c r="A47" i="2"/>
  <c r="O19" i="2" l="1"/>
  <c r="O21" i="2" s="1"/>
  <c r="O22" i="2" s="1"/>
  <c r="O23" i="2" s="1"/>
  <c r="O24" i="2" s="1"/>
  <c r="O25" i="2" s="1"/>
  <c r="O26" i="2" s="1"/>
  <c r="P19" i="2"/>
  <c r="P21" i="2" s="1"/>
  <c r="P22" i="2" s="1"/>
  <c r="P23" i="2" s="1"/>
  <c r="P24" i="2" s="1"/>
  <c r="P25" i="2" s="1"/>
  <c r="P26" i="2" s="1"/>
  <c r="F48" i="2"/>
  <c r="A48" i="2"/>
  <c r="K21" i="2"/>
  <c r="Q19" i="2"/>
  <c r="Q21" i="2" s="1"/>
  <c r="Q22" i="2" s="1"/>
  <c r="Q23" i="2" s="1"/>
  <c r="Q24" i="2" s="1"/>
  <c r="Q25" i="2" s="1"/>
  <c r="Q26" i="2" s="1"/>
  <c r="N19" i="2"/>
  <c r="N21" i="2" s="1"/>
  <c r="N22" i="2" s="1"/>
  <c r="N23" i="2" s="1"/>
  <c r="N24" i="2" s="1"/>
  <c r="N25" i="2" s="1"/>
  <c r="M22" i="2"/>
  <c r="N26" i="2" l="1"/>
  <c r="M23" i="2"/>
  <c r="M24" i="2" s="1"/>
  <c r="M25" i="2" s="1"/>
  <c r="M26" i="2" s="1"/>
  <c r="I25" i="2" s="1" a="1"/>
  <c r="M36" i="2" l="1"/>
  <c r="M37" i="2" s="1"/>
  <c r="M38" i="2" s="1"/>
  <c r="M39" i="2" s="1"/>
  <c r="M40" i="2" s="1"/>
  <c r="M41" i="2" s="1"/>
  <c r="M42" i="2" s="1"/>
  <c r="K28" i="2" a="1"/>
  <c r="K28" i="2" s="1"/>
  <c r="O8" i="4" s="1"/>
  <c r="K27" i="2" a="1"/>
  <c r="K27" i="2" s="1"/>
  <c r="L8" i="4" s="1"/>
  <c r="J31" i="2" a="1"/>
  <c r="J31" i="2" s="1"/>
  <c r="X7" i="4" s="1"/>
  <c r="K29" i="2" a="1"/>
  <c r="K29" i="2" s="1"/>
  <c r="R8" i="4" s="1"/>
  <c r="J28" i="2" a="1"/>
  <c r="J28" i="2" s="1"/>
  <c r="O7" i="4" s="1"/>
  <c r="K31" i="2" a="1"/>
  <c r="K31" i="2" s="1"/>
  <c r="X8" i="4" s="1"/>
  <c r="K26" i="2" a="1"/>
  <c r="K26" i="2" s="1"/>
  <c r="I8" i="4" s="1"/>
  <c r="J29" i="2" a="1"/>
  <c r="J29" i="2" s="1"/>
  <c r="R7" i="4" s="1"/>
  <c r="J27" i="2" a="1"/>
  <c r="J27" i="2" s="1"/>
  <c r="L7" i="4" s="1"/>
  <c r="J30" i="2" a="1"/>
  <c r="J30" i="2" s="1"/>
  <c r="U7" i="4" s="1"/>
  <c r="J26" i="2" a="1"/>
  <c r="J26" i="2" s="1"/>
  <c r="I7" i="4" s="1"/>
  <c r="I25" i="2"/>
  <c r="X9" i="4" l="1"/>
  <c r="Y9" i="4"/>
  <c r="R9" i="4"/>
  <c r="S9" i="4"/>
  <c r="O9" i="4"/>
  <c r="P9" i="4"/>
  <c r="L9" i="4"/>
  <c r="M9" i="4"/>
  <c r="I9" i="4"/>
  <c r="J9" i="4"/>
  <c r="J25" i="2" a="1"/>
  <c r="J25" i="2" s="1"/>
  <c r="F7" i="4" s="1"/>
  <c r="K25" i="2" a="1"/>
  <c r="K25" i="2" s="1"/>
  <c r="F8" i="4" s="1"/>
  <c r="G9" i="4" s="1"/>
  <c r="I31" i="1" l="1"/>
  <c r="L31" i="1"/>
  <c r="I30" i="1"/>
  <c r="L30" i="1"/>
  <c r="I29" i="1"/>
  <c r="L29" i="1"/>
  <c r="I28" i="1"/>
  <c r="L28" i="1"/>
  <c r="I27" i="1"/>
  <c r="L27" i="1"/>
  <c r="I26" i="1"/>
  <c r="L26" i="1"/>
  <c r="I25" i="1"/>
  <c r="L25" i="1"/>
  <c r="I24" i="1"/>
  <c r="L24" i="1"/>
  <c r="I23" i="1"/>
  <c r="L23" i="1"/>
  <c r="I22" i="1"/>
  <c r="L22" i="1"/>
  <c r="I21" i="1"/>
  <c r="L21" i="1"/>
  <c r="I20" i="1"/>
  <c r="L20" i="1"/>
  <c r="I18" i="1"/>
  <c r="L18" i="1"/>
  <c r="I16" i="1"/>
  <c r="L16" i="1"/>
  <c r="I14" i="1"/>
  <c r="L14" i="1"/>
  <c r="C6" i="4"/>
  <c r="L36" i="2"/>
  <c r="H36" i="2" s="1"/>
  <c r="J37" i="2"/>
  <c r="K30" i="2" s="1" a="1"/>
  <c r="K30" i="2" s="1"/>
  <c r="U8" i="4" s="1"/>
  <c r="U9" i="4" l="1"/>
  <c r="V9" i="4"/>
  <c r="I15" i="1"/>
  <c r="L19" i="1"/>
  <c r="I19" i="1"/>
  <c r="L17" i="1"/>
  <c r="I17" i="1"/>
  <c r="L15" i="1"/>
  <c r="L37" i="2"/>
  <c r="L38" i="2" s="1"/>
  <c r="H37" i="2" l="1"/>
  <c r="H38" i="2"/>
  <c r="L39" i="2"/>
  <c r="L40" i="2" l="1"/>
  <c r="H39" i="2"/>
  <c r="H40" i="2" l="1"/>
  <c r="L41" i="2"/>
  <c r="L42" i="2" l="1"/>
  <c r="H42" i="2" s="1"/>
  <c r="H4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<sst xmlns="http://schemas.openxmlformats.org/spreadsheetml/2006/main" count="119" uniqueCount="69">
  <si>
    <t>Names</t>
  </si>
  <si>
    <t>Designation</t>
  </si>
  <si>
    <t>Sr#</t>
  </si>
  <si>
    <t>Saqlain</t>
  </si>
  <si>
    <t>Haider</t>
  </si>
  <si>
    <t>Usman</t>
  </si>
  <si>
    <t>Start Time</t>
  </si>
  <si>
    <t>End time</t>
  </si>
  <si>
    <t>Over time</t>
  </si>
  <si>
    <t>Start Date</t>
  </si>
  <si>
    <t>End Date</t>
  </si>
  <si>
    <t>Day time</t>
  </si>
  <si>
    <t>Daily Wages (5:00 to 12:00) (Rs)</t>
  </si>
  <si>
    <t>5:00 Pm to 12:00 Am</t>
  </si>
  <si>
    <t>12:00 Am to 8:00 Am</t>
  </si>
  <si>
    <t>8:00 Am to 5:00 Pm</t>
  </si>
  <si>
    <t>Daily Wages (12:00 to 8:00) (Rs)</t>
  </si>
  <si>
    <t>8 Am to 5 Pm</t>
  </si>
  <si>
    <t>5 Pm to 12 Am</t>
  </si>
  <si>
    <t>Daily Wages (8:00 to 5:00) (Rs)</t>
  </si>
  <si>
    <t>Naveed</t>
  </si>
  <si>
    <t>Qadeer</t>
  </si>
  <si>
    <t>Javaid</t>
  </si>
  <si>
    <t>Individual Sub Total (Rupees)</t>
  </si>
  <si>
    <t>Grand Total</t>
  </si>
  <si>
    <t>Daily Wages Calculator</t>
  </si>
  <si>
    <t>Important Note:-</t>
  </si>
  <si>
    <t>Fill data only in this color cells</t>
  </si>
  <si>
    <t>Press this Button &gt;&gt;</t>
  </si>
  <si>
    <t>Amir</t>
  </si>
  <si>
    <t>Saeed</t>
  </si>
  <si>
    <t>Labour</t>
  </si>
  <si>
    <t>new formula</t>
  </si>
  <si>
    <t>Old formula</t>
  </si>
  <si>
    <t>Shakeel</t>
  </si>
  <si>
    <t>Gulam Hussain</t>
  </si>
  <si>
    <t>Wajid</t>
  </si>
  <si>
    <t>12 Am to 8 Am</t>
  </si>
  <si>
    <t>Muzammil</t>
  </si>
  <si>
    <t>Daily Wages (Rs)</t>
  </si>
  <si>
    <t>Important Factors</t>
  </si>
  <si>
    <t xml:space="preserve">Day </t>
  </si>
  <si>
    <t>Day</t>
  </si>
  <si>
    <t>Date</t>
  </si>
  <si>
    <t>Select Week</t>
  </si>
  <si>
    <t>week</t>
  </si>
  <si>
    <t>Index</t>
  </si>
  <si>
    <t>index</t>
  </si>
  <si>
    <t>Time In</t>
  </si>
  <si>
    <t>Daily Wages</t>
  </si>
  <si>
    <t>Rupee</t>
  </si>
  <si>
    <t>Attendence Sheet</t>
  </si>
  <si>
    <t>Total Working Hours</t>
  </si>
  <si>
    <t>Overtime</t>
  </si>
  <si>
    <t>Total Weekly Wages</t>
  </si>
  <si>
    <t>Extra Overtime Charge?</t>
  </si>
  <si>
    <t>Overcharge</t>
  </si>
  <si>
    <t>Ahsan</t>
  </si>
  <si>
    <t>Food Break?</t>
  </si>
  <si>
    <t xml:space="preserve"> Food Break?</t>
  </si>
  <si>
    <t>dd/mm/yyyy</t>
  </si>
  <si>
    <t>Yes</t>
  </si>
  <si>
    <t>Zeeshan</t>
  </si>
  <si>
    <t>No</t>
  </si>
  <si>
    <t>Combine Next month's Week?</t>
  </si>
  <si>
    <t>Weeks</t>
  </si>
  <si>
    <t>Week 2</t>
  </si>
  <si>
    <t xml:space="preserve"> </t>
  </si>
  <si>
    <t>❌ Save cancelled.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</si>
</sst>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mmm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b/>
      <i/>
      <sz val="36"/>
      <color theme="1"/>
      <name val="Times New Roman"/>
      <family val="1"/>
    </font>
    <font>
      <b/>
      <i/>
      <sz val="24"/>
      <color theme="1"/>
      <name val="Times New Roman"/>
      <family val="1"/>
    </font>
    <font>
      <b/>
      <i/>
      <sz val="20"/>
      <color theme="1"/>
      <name val="Times New Roman"/>
      <family val="1"/>
    </font>
    <font>
      <b/>
      <i/>
      <sz val="18"/>
      <color rgb="FF000000"/>
      <name val="Times New Roman"/>
      <family val="1"/>
    </font>
    <font>
      <sz val="16"/>
      <color theme="1"/>
      <name val="Times New Roman"/>
      <family val="1"/>
    </font>
    <font>
      <b/>
      <i/>
      <sz val="48"/>
      <color theme="1"/>
      <name val="Times New Roman"/>
      <family val="1"/>
    </font>
    <font>
      <b/>
      <i/>
      <sz val="14"/>
      <color theme="1"/>
      <name val="Times New Roman"/>
      <family val="1"/>
    </font>
    <font>
      <sz val="8"/>
      <name val="Aptos Narrow"/>
      <family val="2"/>
      <scheme val="minor"/>
    </font>
    <font>
      <b/>
      <sz val="11"/>
      <color theme="1"/>
      <name val="Times New Roman"/>
      <family val="1"/>
    </font>
    <font>
      <b/>
      <i/>
      <sz val="18"/>
      <color theme="1"/>
      <name val="Times New Roman"/>
      <family val="1"/>
    </font>
    <font>
      <b/>
      <i/>
      <sz val="16"/>
      <color theme="1"/>
      <name val="Times New Roman"/>
      <family val="1"/>
    </font>
    <font>
      <sz val="14"/>
      <color theme="1"/>
      <name val="Times New Roman"/>
      <family val="1"/>
    </font>
    <font>
      <b/>
      <i/>
      <sz val="48"/>
      <color rgb="FF000000"/>
      <name val="Times New Roman"/>
      <family val="1"/>
    </font>
    <font>
      <b/>
      <sz val="16"/>
      <color theme="1"/>
      <name val="Times New Roman"/>
      <family val="1"/>
    </font>
    <font>
      <b/>
      <sz val="12"/>
      <color rgb="FF000000"/>
      <name val="Times New Roman"/>
      <family val="1"/>
    </font>
    <font>
      <sz val="8"/>
      <color rgb="FF000000"/>
      <name val="Segoe UI"/>
      <family val="2"/>
    </font>
    <font>
      <sz val="14"/>
      <color rgb="FFC00000"/>
      <name val="Times New Roman"/>
      <family val="1"/>
    </font>
    <font>
      <b/>
      <sz val="14"/>
      <color rgb="FF000000"/>
      <name val="Times New Roman"/>
      <family val="1"/>
    </font>
    <font>
      <b/>
      <i/>
      <sz val="20"/>
      <color rgb="FF00000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ACF8B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7">
    <xf numFmtId="0" fontId="0" fillId="0" borderId="0" xfId="0"/>
    <xf numFmtId="0" fontId="1" fillId="0" borderId="0" xfId="0" applyFont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6" borderId="7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14" fontId="1" fillId="0" borderId="9" xfId="0" applyNumberFormat="1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14" fontId="1" fillId="0" borderId="16" xfId="0" applyNumberFormat="1" applyFont="1" applyBorder="1" applyAlignment="1">
      <alignment horizontal="center" vertical="center" wrapText="1"/>
    </xf>
    <xf numFmtId="164" fontId="1" fillId="0" borderId="14" xfId="0" applyNumberFormat="1" applyFont="1" applyBorder="1" applyAlignment="1">
      <alignment horizontal="center" vertical="center" wrapText="1"/>
    </xf>
    <xf numFmtId="164" fontId="1" fillId="0" borderId="17" xfId="0" applyNumberFormat="1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 wrapText="1"/>
    </xf>
    <xf numFmtId="164" fontId="1" fillId="0" borderId="22" xfId="0" applyNumberFormat="1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18" fontId="1" fillId="4" borderId="10" xfId="0" applyNumberFormat="1" applyFont="1" applyFill="1" applyBorder="1" applyAlignment="1">
      <alignment horizontal="center" vertical="center" wrapText="1"/>
    </xf>
    <xf numFmtId="18" fontId="1" fillId="4" borderId="13" xfId="0" applyNumberFormat="1" applyFont="1" applyFill="1" applyBorder="1" applyAlignment="1">
      <alignment horizontal="center" vertical="center" wrapText="1"/>
    </xf>
    <xf numFmtId="18" fontId="1" fillId="4" borderId="15" xfId="0" applyNumberFormat="1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4" borderId="24" xfId="0" applyFont="1" applyFill="1" applyBorder="1" applyAlignment="1">
      <alignment horizontal="center" vertical="center" wrapText="1"/>
    </xf>
    <xf numFmtId="0" fontId="1" fillId="4" borderId="25" xfId="0" applyFont="1" applyFill="1" applyBorder="1" applyAlignment="1">
      <alignment horizontal="center" vertical="center" wrapText="1"/>
    </xf>
    <xf numFmtId="0" fontId="1" fillId="4" borderId="26" xfId="0" applyFont="1" applyFill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164" fontId="1" fillId="0" borderId="13" xfId="0" applyNumberFormat="1" applyFont="1" applyBorder="1" applyAlignment="1">
      <alignment horizontal="center" vertical="center" wrapText="1"/>
    </xf>
    <xf numFmtId="164" fontId="1" fillId="0" borderId="15" xfId="0" applyNumberFormat="1" applyFont="1" applyBorder="1" applyAlignment="1">
      <alignment horizontal="center" vertical="center" wrapText="1"/>
    </xf>
    <xf numFmtId="164" fontId="1" fillId="0" borderId="36" xfId="0" applyNumberFormat="1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164" fontId="1" fillId="4" borderId="12" xfId="0" applyNumberFormat="1" applyFont="1" applyFill="1" applyBorder="1" applyAlignment="1">
      <alignment horizontal="center" vertical="center" wrapText="1"/>
    </xf>
    <xf numFmtId="164" fontId="1" fillId="4" borderId="14" xfId="0" applyNumberFormat="1" applyFont="1" applyFill="1" applyBorder="1" applyAlignment="1">
      <alignment horizontal="center" vertical="center" wrapText="1"/>
    </xf>
    <xf numFmtId="164" fontId="1" fillId="4" borderId="17" xfId="0" applyNumberFormat="1" applyFont="1" applyFill="1" applyBorder="1" applyAlignment="1">
      <alignment horizontal="center" vertical="center" wrapText="1"/>
    </xf>
    <xf numFmtId="0" fontId="8" fillId="0" borderId="38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164" fontId="1" fillId="7" borderId="32" xfId="0" applyNumberFormat="1" applyFont="1" applyFill="1" applyBorder="1" applyAlignment="1">
      <alignment horizontal="center" vertical="center" wrapText="1"/>
    </xf>
    <xf numFmtId="164" fontId="1" fillId="7" borderId="33" xfId="0" applyNumberFormat="1" applyFont="1" applyFill="1" applyBorder="1" applyAlignment="1">
      <alignment horizontal="center" vertical="center" wrapText="1"/>
    </xf>
    <xf numFmtId="164" fontId="1" fillId="7" borderId="34" xfId="0" applyNumberFormat="1" applyFont="1" applyFill="1" applyBorder="1" applyAlignment="1">
      <alignment horizontal="center" vertical="center" wrapText="1"/>
    </xf>
    <xf numFmtId="164" fontId="1" fillId="7" borderId="24" xfId="0" applyNumberFormat="1" applyFont="1" applyFill="1" applyBorder="1" applyAlignment="1">
      <alignment horizontal="center" vertical="center" wrapText="1"/>
    </xf>
    <xf numFmtId="164" fontId="1" fillId="7" borderId="25" xfId="0" applyNumberFormat="1" applyFont="1" applyFill="1" applyBorder="1" applyAlignment="1">
      <alignment horizontal="center" vertical="center" wrapText="1"/>
    </xf>
    <xf numFmtId="164" fontId="1" fillId="7" borderId="26" xfId="0" applyNumberFormat="1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18" fontId="1" fillId="0" borderId="13" xfId="0" applyNumberFormat="1" applyFont="1" applyBorder="1" applyAlignment="1">
      <alignment horizontal="center" vertical="center" wrapText="1"/>
    </xf>
    <xf numFmtId="18" fontId="1" fillId="0" borderId="14" xfId="0" applyNumberFormat="1" applyFont="1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 wrapText="1"/>
    </xf>
    <xf numFmtId="0" fontId="1" fillId="0" borderId="51" xfId="0" applyFont="1" applyBorder="1" applyAlignment="1">
      <alignment horizontal="center" vertical="center" wrapText="1"/>
    </xf>
    <xf numFmtId="0" fontId="1" fillId="5" borderId="24" xfId="0" applyFont="1" applyFill="1" applyBorder="1" applyAlignment="1">
      <alignment horizontal="center" vertical="center" wrapText="1"/>
    </xf>
    <xf numFmtId="0" fontId="1" fillId="5" borderId="25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18" fontId="1" fillId="0" borderId="36" xfId="0" applyNumberFormat="1" applyFont="1" applyBorder="1" applyAlignment="1">
      <alignment horizontal="center" vertical="center" wrapText="1"/>
    </xf>
    <xf numFmtId="18" fontId="1" fillId="0" borderId="37" xfId="0" applyNumberFormat="1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wrapText="1"/>
    </xf>
    <xf numFmtId="0" fontId="1" fillId="0" borderId="55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 wrapText="1"/>
    </xf>
    <xf numFmtId="0" fontId="1" fillId="0" borderId="57" xfId="0" applyFont="1" applyBorder="1" applyAlignment="1">
      <alignment horizontal="center" vertical="center" wrapText="1"/>
    </xf>
    <xf numFmtId="164" fontId="1" fillId="0" borderId="23" xfId="0" applyNumberFormat="1" applyFont="1" applyBorder="1" applyAlignment="1">
      <alignment horizontal="center" vertical="center" wrapText="1"/>
    </xf>
    <xf numFmtId="3" fontId="1" fillId="0" borderId="24" xfId="0" applyNumberFormat="1" applyFont="1" applyBorder="1" applyAlignment="1">
      <alignment horizontal="center" vertical="center" wrapText="1"/>
    </xf>
    <xf numFmtId="3" fontId="1" fillId="0" borderId="25" xfId="0" applyNumberFormat="1" applyFont="1" applyBorder="1" applyAlignment="1">
      <alignment horizontal="center" vertical="center" wrapText="1"/>
    </xf>
    <xf numFmtId="3" fontId="1" fillId="0" borderId="26" xfId="0" applyNumberFormat="1" applyFont="1" applyBorder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1" fillId="0" borderId="58" xfId="0" applyFont="1" applyBorder="1" applyAlignment="1">
      <alignment horizontal="center" vertical="center" wrapText="1"/>
    </xf>
    <xf numFmtId="0" fontId="1" fillId="0" borderId="59" xfId="0" applyFont="1" applyBorder="1" applyAlignment="1">
      <alignment horizontal="center" vertical="center" wrapText="1"/>
    </xf>
    <xf numFmtId="164" fontId="1" fillId="0" borderId="47" xfId="0" applyNumberFormat="1" applyFont="1" applyBorder="1" applyAlignment="1">
      <alignment horizontal="center" vertical="center" wrapText="1"/>
    </xf>
    <xf numFmtId="164" fontId="1" fillId="0" borderId="42" xfId="0" applyNumberFormat="1" applyFont="1" applyBorder="1" applyAlignment="1">
      <alignment horizontal="center" vertical="center" wrapText="1"/>
    </xf>
    <xf numFmtId="164" fontId="1" fillId="0" borderId="43" xfId="0" applyNumberFormat="1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50" xfId="0" applyFont="1" applyBorder="1" applyAlignment="1">
      <alignment horizontal="center" vertical="center" wrapText="1"/>
    </xf>
    <xf numFmtId="164" fontId="1" fillId="0" borderId="27" xfId="0" applyNumberFormat="1" applyFont="1" applyBorder="1" applyAlignment="1">
      <alignment horizontal="center" vertical="center" wrapText="1"/>
    </xf>
    <xf numFmtId="164" fontId="1" fillId="0" borderId="18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164" fontId="12" fillId="0" borderId="40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164" fontId="1" fillId="0" borderId="35" xfId="0" applyNumberFormat="1" applyFont="1" applyBorder="1" applyAlignment="1">
      <alignment horizontal="center" vertical="center" wrapText="1"/>
    </xf>
    <xf numFmtId="164" fontId="1" fillId="0" borderId="41" xfId="0" applyNumberFormat="1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164" fontId="1" fillId="0" borderId="38" xfId="0" applyNumberFormat="1" applyFont="1" applyBorder="1" applyAlignment="1">
      <alignment horizontal="center" vertical="center" wrapText="1"/>
    </xf>
    <xf numFmtId="164" fontId="1" fillId="0" borderId="39" xfId="0" applyNumberFormat="1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center" vertical="center" wrapText="1"/>
    </xf>
    <xf numFmtId="0" fontId="18" fillId="9" borderId="2" xfId="0" applyFont="1" applyFill="1" applyBorder="1" applyAlignment="1">
      <alignment horizontal="center" vertical="center" wrapText="1"/>
    </xf>
    <xf numFmtId="0" fontId="18" fillId="9" borderId="3" xfId="0" applyFont="1" applyFill="1" applyBorder="1" applyAlignment="1">
      <alignment horizontal="center" vertical="center" wrapText="1"/>
    </xf>
    <xf numFmtId="0" fontId="18" fillId="9" borderId="4" xfId="0" applyFont="1" applyFill="1" applyBorder="1" applyAlignment="1">
      <alignment horizontal="center" vertical="center" wrapText="1"/>
    </xf>
    <xf numFmtId="0" fontId="18" fillId="9" borderId="0" xfId="0" applyFont="1" applyFill="1" applyAlignment="1">
      <alignment horizontal="center" vertical="center" wrapText="1"/>
    </xf>
    <xf numFmtId="0" fontId="18" fillId="9" borderId="5" xfId="0" applyFont="1" applyFill="1" applyBorder="1" applyAlignment="1">
      <alignment horizontal="center" vertical="center" wrapText="1"/>
    </xf>
    <xf numFmtId="0" fontId="18" fillId="9" borderId="6" xfId="0" applyFont="1" applyFill="1" applyBorder="1" applyAlignment="1">
      <alignment horizontal="center" vertical="center" wrapText="1"/>
    </xf>
    <xf numFmtId="0" fontId="18" fillId="9" borderId="7" xfId="0" applyFont="1" applyFill="1" applyBorder="1" applyAlignment="1">
      <alignment horizontal="center" vertical="center" wrapText="1"/>
    </xf>
    <xf numFmtId="0" fontId="18" fillId="9" borderId="8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3" fontId="15" fillId="0" borderId="24" xfId="0" applyNumberFormat="1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right" vertical="center" wrapText="1"/>
    </xf>
    <xf numFmtId="0" fontId="11" fillId="0" borderId="2" xfId="0" applyFont="1" applyBorder="1" applyAlignment="1">
      <alignment horizontal="right" vertical="center" wrapText="1"/>
    </xf>
    <xf numFmtId="0" fontId="11" fillId="0" borderId="3" xfId="0" applyFont="1" applyBorder="1" applyAlignment="1">
      <alignment horizontal="right" vertical="center" wrapText="1"/>
    </xf>
    <xf numFmtId="0" fontId="11" fillId="0" borderId="6" xfId="0" applyFont="1" applyBorder="1" applyAlignment="1">
      <alignment horizontal="right" vertical="center" wrapText="1"/>
    </xf>
    <xf numFmtId="0" fontId="11" fillId="0" borderId="7" xfId="0" applyFont="1" applyBorder="1" applyAlignment="1">
      <alignment horizontal="right" vertical="center" wrapText="1"/>
    </xf>
    <xf numFmtId="0" fontId="11" fillId="0" borderId="8" xfId="0" applyFont="1" applyBorder="1" applyAlignment="1">
      <alignment horizontal="right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0" fontId="1" fillId="0" borderId="53" xfId="0" applyFont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1" fillId="0" borderId="48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6" borderId="7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10">
    <dxf>
      <fill>
        <patternFill>
          <b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colors>
    <mruColors>
      <color rgb="FFACF8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checked="Checked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182880</xdr:colOff>
          <xdr:row>7</xdr:row>
          <xdr:rowOff>137160</xdr:rowOff>
        </xdr:from>
        <xdr:to>
          <xdr:col>16</xdr:col>
          <xdr:colOff>883920</xdr:colOff>
          <xdr:row>10</xdr:row>
          <xdr:rowOff>91440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ALL 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53339</xdr:colOff>
      <xdr:row>35</xdr:row>
      <xdr:rowOff>30480</xdr:rowOff>
    </xdr:from>
    <xdr:to>
      <xdr:col>5</xdr:col>
      <xdr:colOff>922020</xdr:colOff>
      <xdr:row>38</xdr:row>
      <xdr:rowOff>119270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262035" y="7109350"/>
          <a:ext cx="1840507" cy="652007"/>
          <a:chOff x="2491739" y="7153523"/>
          <a:chExt cx="1836090" cy="665260"/>
        </a:xfrm>
        <a:blipFill>
          <a:blip xmlns:r="http://schemas.openxmlformats.org/officeDocument/2006/relationships" r:embed="rId1"/>
          <a:tile tx="0" ty="0" sx="100000" sy="100000" flip="none" algn="tl"/>
        </a:blipFill>
      </xdr:grpSpPr>
      <xdr:sp macro="" textlink="">
        <xdr:nvSpPr>
          <xdr:cNvPr id="1033" name="Option Button 9" hidden="1">
            <a:extLst>
              <a:ext uri="{63B3BB69-23CF-44E3-9099-C40C66FF867C}">
                <a14:compatExt xmlns:a14="http://schemas.microsoft.com/office/drawing/2010/main" spid="_x0000_s1033"/>
              </a:ext>
              <a:ext uri="{FF2B5EF4-FFF2-40B4-BE49-F238E27FC236}">
                <a16:creationId xmlns:a16="http://schemas.microsoft.com/office/drawing/2014/main" id="{00000000-0008-0000-0000-000009040000}"/>
              </a:ext>
            </a:extLst>
          </xdr:cNvPr>
          <xdr:cNvSpPr/>
        </xdr:nvSpPr>
        <xdr:spPr bwMode="auto">
          <a:xfrm>
            <a:off x="2491740" y="7153523"/>
            <a:ext cx="1836089" cy="29419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en-US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SAVE DATA</a:t>
            </a:r>
          </a:p>
        </xdr:txBody>
      </xdr:sp>
      <xdr:sp macro="" textlink="">
        <xdr:nvSpPr>
          <xdr:cNvPr id="1035" name="Option Button 10" hidden="1">
            <a:extLst>
              <a:ext uri="{63B3BB69-23CF-44E3-9099-C40C66FF867C}">
                <a14:compatExt xmlns:a14="http://schemas.microsoft.com/office/drawing/2010/main" spid="_x0000_s1035"/>
              </a:ext>
              <a:ext uri="{FF2B5EF4-FFF2-40B4-BE49-F238E27FC236}">
                <a16:creationId xmlns:a16="http://schemas.microsoft.com/office/drawing/2014/main" id="{00000000-0008-0000-0000-00000B040000}"/>
              </a:ext>
            </a:extLst>
          </xdr:cNvPr>
          <xdr:cNvSpPr/>
        </xdr:nvSpPr>
        <xdr:spPr bwMode="auto">
          <a:xfrm>
            <a:off x="2491739" y="7524584"/>
            <a:ext cx="1836089" cy="29419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en-US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LOAD DATA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35</xdr:row>
          <xdr:rowOff>68580</xdr:rowOff>
        </xdr:from>
        <xdr:to>
          <xdr:col>7</xdr:col>
          <xdr:colOff>807720</xdr:colOff>
          <xdr:row>38</xdr:row>
          <xdr:rowOff>137160</xdr:rowOff>
        </xdr:to>
        <xdr:sp macro="" textlink="">
          <xdr:nvSpPr>
            <xdr:cNvPr id="1036" name="Button 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SAVE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</xdr:colOff>
          <xdr:row>35</xdr:row>
          <xdr:rowOff>30480</xdr:rowOff>
        </xdr:from>
        <xdr:to>
          <xdr:col>5</xdr:col>
          <xdr:colOff>922020</xdr:colOff>
          <xdr:row>36</xdr:row>
          <xdr:rowOff>129540</xdr:rowOff>
        </xdr:to>
        <xdr:sp macro="" textlink="">
          <xdr:nvSpPr>
            <xdr:cNvPr id="3" name="Option Button 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</xdr:colOff>
          <xdr:row>37</xdr:row>
          <xdr:rowOff>22860</xdr:rowOff>
        </xdr:from>
        <xdr:to>
          <xdr:col>5</xdr:col>
          <xdr:colOff>922020</xdr:colOff>
          <xdr:row>38</xdr:row>
          <xdr:rowOff>121920</xdr:rowOff>
        </xdr:to>
        <xdr:sp macro="" textlink="">
          <xdr:nvSpPr>
            <xdr:cNvPr id="4" name="Option Button 5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DATA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</xdr:colOff>
          <xdr:row>6</xdr:row>
          <xdr:rowOff>68580</xdr:rowOff>
        </xdr:from>
        <xdr:to>
          <xdr:col>1</xdr:col>
          <xdr:colOff>533400</xdr:colOff>
          <xdr:row>26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100584" tIns="91440" rIns="100584" bIns="91440" anchor="ctr" upright="1"/>
            <a:lstStyle/>
            <a:p>
              <a:pPr algn="ctr" rtl="0">
                <a:defRPr sz="1000"/>
              </a:pPr>
              <a:r>
                <a:rPr lang="en-US" sz="4800" b="1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WRITE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35</xdr:row>
          <xdr:rowOff>22860</xdr:rowOff>
        </xdr:from>
        <xdr:to>
          <xdr:col>5</xdr:col>
          <xdr:colOff>838200</xdr:colOff>
          <xdr:row>36</xdr:row>
          <xdr:rowOff>137160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36</xdr:row>
          <xdr:rowOff>144780</xdr:rowOff>
        </xdr:from>
        <xdr:to>
          <xdr:col>5</xdr:col>
          <xdr:colOff>845820</xdr:colOff>
          <xdr:row>38</xdr:row>
          <xdr:rowOff>91440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35</xdr:row>
          <xdr:rowOff>45720</xdr:rowOff>
        </xdr:from>
        <xdr:to>
          <xdr:col>8</xdr:col>
          <xdr:colOff>853440</xdr:colOff>
          <xdr:row>38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SAVE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53340</xdr:colOff>
          <xdr:row>35</xdr:row>
          <xdr:rowOff>45720</xdr:rowOff>
        </xdr:from>
        <xdr:to>
          <xdr:col>18</xdr:col>
          <xdr:colOff>792480</xdr:colOff>
          <xdr:row>38</xdr:row>
          <xdr:rowOff>114300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94095-2D70-4EC8-9C3A-894D3B3C8950}">
  <sheetPr codeName="Sheet1">
    <tabColor rgb="FFFFC000"/>
  </sheetPr>
  <dimension ref="A3:AF64"/>
  <sheetViews>
    <sheetView topLeftCell="A6" zoomScale="69" zoomScaleNormal="115" workbookViewId="0">
      <selection activeCell="L34" sqref="L34"/>
    </sheetView>
  </sheetViews>
  <sheetFormatPr defaultRowHeight="13.8" x14ac:dyDescent="0.3"/>
  <cols>
    <col min="1" max="1" width="8.88671875" style="1"/>
    <col min="2" max="2" width="5.5546875" style="1" customWidth="1"/>
    <col min="3" max="4" width="8.88671875" style="1"/>
    <col min="5" max="6" width="14.109375" style="1" customWidth="1"/>
    <col min="7" max="12" width="12.88671875" style="1" customWidth="1"/>
    <col min="13" max="13" width="17.5546875" style="1" customWidth="1"/>
    <col min="14" max="14" width="15.44140625" style="1" customWidth="1"/>
    <col min="15" max="15" width="14.6640625" style="1" customWidth="1"/>
    <col min="16" max="16" width="18.44140625" style="1" customWidth="1"/>
    <col min="17" max="19" width="14.88671875" style="1" customWidth="1"/>
    <col min="20" max="20" width="18.88671875" style="1" customWidth="1"/>
    <col min="21" max="21" width="16.5546875" style="1" customWidth="1"/>
    <col min="22" max="24" width="14.88671875" style="1" customWidth="1"/>
    <col min="25" max="25" width="9.21875" style="1" bestFit="1" customWidth="1"/>
    <col min="26" max="26" width="9" style="1" customWidth="1"/>
    <col min="27" max="28" width="11.88671875" style="1" customWidth="1"/>
    <col min="29" max="32" width="8.88671875" style="1"/>
    <col min="33" max="33" width="11.5546875" style="1" bestFit="1" customWidth="1"/>
    <col min="34" max="16384" width="8.88671875" style="1"/>
  </cols>
  <sheetData>
    <row r="3" spans="1:32" ht="14.4" thickBot="1" x14ac:dyDescent="0.35">
      <c r="B3" s="2"/>
      <c r="C3" s="2"/>
    </row>
    <row r="4" spans="1:32" ht="13.8" customHeight="1" x14ac:dyDescent="0.3">
      <c r="B4" s="177" t="s">
        <v>25</v>
      </c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9"/>
      <c r="Y4" s="9"/>
      <c r="Z4" s="9"/>
      <c r="AA4" s="9"/>
      <c r="AB4" s="9"/>
      <c r="AC4" s="9"/>
      <c r="AD4" s="9"/>
      <c r="AE4" s="9"/>
      <c r="AF4" s="9"/>
    </row>
    <row r="5" spans="1:32" ht="13.8" customHeight="1" x14ac:dyDescent="0.3">
      <c r="B5" s="180"/>
      <c r="C5" s="181"/>
      <c r="D5" s="181"/>
      <c r="E5" s="181"/>
      <c r="F5" s="181"/>
      <c r="G5" s="181"/>
      <c r="H5" s="181"/>
      <c r="I5" s="181"/>
      <c r="J5" s="181"/>
      <c r="K5" s="181"/>
      <c r="L5" s="181"/>
      <c r="M5" s="181"/>
      <c r="N5" s="181"/>
      <c r="O5" s="181"/>
      <c r="P5" s="181"/>
      <c r="Q5" s="181"/>
      <c r="R5" s="181"/>
      <c r="S5" s="181"/>
      <c r="T5" s="181"/>
      <c r="U5" s="181"/>
      <c r="V5" s="181"/>
      <c r="W5" s="181"/>
      <c r="X5" s="182"/>
      <c r="Y5" s="9"/>
      <c r="Z5" s="9"/>
      <c r="AA5" s="9"/>
      <c r="AB5" s="9"/>
      <c r="AC5" s="9"/>
      <c r="AD5" s="9"/>
      <c r="AE5" s="9"/>
      <c r="AF5" s="9"/>
    </row>
    <row r="6" spans="1:32" ht="13.8" customHeight="1" x14ac:dyDescent="0.3">
      <c r="B6" s="180"/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81"/>
      <c r="W6" s="181"/>
      <c r="X6" s="182"/>
      <c r="Y6" s="9"/>
      <c r="Z6" s="9"/>
      <c r="AA6" s="9"/>
      <c r="AB6" s="9"/>
      <c r="AC6" s="9"/>
      <c r="AD6" s="9"/>
      <c r="AE6" s="9"/>
      <c r="AF6" s="9"/>
    </row>
    <row r="7" spans="1:32" ht="14.4" customHeight="1" thickBot="1" x14ac:dyDescent="0.35">
      <c r="B7" s="183"/>
      <c r="C7" s="184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5"/>
      <c r="Y7" s="9"/>
      <c r="Z7" s="9"/>
      <c r="AA7" s="9"/>
      <c r="AB7" s="9"/>
      <c r="AC7" s="9"/>
      <c r="AD7" s="9"/>
      <c r="AE7" s="9"/>
      <c r="AF7" s="9"/>
    </row>
    <row r="8" spans="1:32" ht="18.600000000000001" customHeight="1" thickBot="1" x14ac:dyDescent="0.35">
      <c r="E8" s="152" t="s">
        <v>26</v>
      </c>
      <c r="F8" s="153"/>
      <c r="G8" s="153"/>
      <c r="H8" s="154"/>
      <c r="I8" s="8"/>
      <c r="J8" s="158" t="s">
        <v>27</v>
      </c>
      <c r="K8" s="159"/>
      <c r="L8" s="159"/>
      <c r="M8" s="160"/>
      <c r="N8" s="187" t="s">
        <v>28</v>
      </c>
      <c r="O8" s="188"/>
      <c r="P8" s="152"/>
      <c r="Q8" s="154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</row>
    <row r="9" spans="1:32" ht="18.600000000000001" customHeight="1" thickBot="1" x14ac:dyDescent="0.35">
      <c r="E9" s="152"/>
      <c r="F9" s="153"/>
      <c r="G9" s="153"/>
      <c r="H9" s="154"/>
      <c r="I9" s="8"/>
      <c r="J9" s="158"/>
      <c r="K9" s="159"/>
      <c r="L9" s="159"/>
      <c r="M9" s="160"/>
      <c r="N9" s="187"/>
      <c r="O9" s="188"/>
      <c r="P9" s="152"/>
      <c r="Q9" s="154"/>
      <c r="R9" s="8"/>
      <c r="S9" s="8"/>
      <c r="T9" s="57" t="s">
        <v>44</v>
      </c>
      <c r="U9" s="58" t="s">
        <v>66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</row>
    <row r="10" spans="1:32" ht="18.600000000000001" customHeight="1" x14ac:dyDescent="0.3">
      <c r="E10" s="152"/>
      <c r="F10" s="153"/>
      <c r="G10" s="153"/>
      <c r="H10" s="154"/>
      <c r="I10" s="8"/>
      <c r="J10" s="158"/>
      <c r="K10" s="159"/>
      <c r="L10" s="159"/>
      <c r="M10" s="160"/>
      <c r="N10" s="187"/>
      <c r="O10" s="188"/>
      <c r="P10" s="152"/>
      <c r="Q10" s="154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</row>
    <row r="11" spans="1:32" ht="18.600000000000001" customHeight="1" thickBot="1" x14ac:dyDescent="0.35">
      <c r="E11" s="155"/>
      <c r="F11" s="156"/>
      <c r="G11" s="156"/>
      <c r="H11" s="157"/>
      <c r="I11" s="27"/>
      <c r="J11" s="161"/>
      <c r="K11" s="162"/>
      <c r="L11" s="162"/>
      <c r="M11" s="163"/>
      <c r="N11" s="189"/>
      <c r="O11" s="190"/>
      <c r="P11" s="155"/>
      <c r="Q11" s="157"/>
    </row>
    <row r="12" spans="1:32" ht="25.2" customHeight="1" x14ac:dyDescent="0.3">
      <c r="B12" s="173" t="s">
        <v>2</v>
      </c>
      <c r="C12" s="164" t="s">
        <v>0</v>
      </c>
      <c r="D12" s="164"/>
      <c r="E12" s="164" t="s">
        <v>1</v>
      </c>
      <c r="F12" s="166" t="s">
        <v>39</v>
      </c>
      <c r="G12" s="173" t="s">
        <v>6</v>
      </c>
      <c r="H12" s="16" t="s">
        <v>9</v>
      </c>
      <c r="I12" s="139" t="s">
        <v>42</v>
      </c>
      <c r="J12" s="173" t="s">
        <v>7</v>
      </c>
      <c r="K12" s="16" t="s">
        <v>10</v>
      </c>
      <c r="L12" s="168" t="s">
        <v>42</v>
      </c>
      <c r="M12" s="31" t="s">
        <v>11</v>
      </c>
      <c r="N12" s="4" t="s">
        <v>58</v>
      </c>
      <c r="O12" s="164" t="s">
        <v>19</v>
      </c>
      <c r="P12" s="4" t="s">
        <v>8</v>
      </c>
      <c r="Q12" s="4" t="s">
        <v>58</v>
      </c>
      <c r="R12" s="166" t="s">
        <v>12</v>
      </c>
      <c r="S12" s="192" t="s">
        <v>53</v>
      </c>
      <c r="T12" s="31" t="s">
        <v>8</v>
      </c>
      <c r="U12" s="4" t="s">
        <v>59</v>
      </c>
      <c r="V12" s="164" t="s">
        <v>16</v>
      </c>
      <c r="W12" s="169" t="s">
        <v>52</v>
      </c>
      <c r="X12" s="92" t="s">
        <v>23</v>
      </c>
      <c r="Y12" s="103"/>
      <c r="Z12" s="104"/>
      <c r="AA12" s="168" t="s">
        <v>55</v>
      </c>
      <c r="AB12" s="168" t="s">
        <v>56</v>
      </c>
    </row>
    <row r="13" spans="1:32" ht="25.2" customHeight="1" thickBot="1" x14ac:dyDescent="0.35">
      <c r="B13" s="174"/>
      <c r="C13" s="165"/>
      <c r="D13" s="165"/>
      <c r="E13" s="165"/>
      <c r="F13" s="167"/>
      <c r="G13" s="191"/>
      <c r="H13" s="59" t="s">
        <v>60</v>
      </c>
      <c r="I13" s="149"/>
      <c r="J13" s="191"/>
      <c r="K13" s="59" t="s">
        <v>60</v>
      </c>
      <c r="L13" s="151"/>
      <c r="M13" s="33" t="s">
        <v>15</v>
      </c>
      <c r="N13" s="7" t="s">
        <v>17</v>
      </c>
      <c r="O13" s="165"/>
      <c r="P13" s="7" t="s">
        <v>13</v>
      </c>
      <c r="Q13" s="7" t="s">
        <v>18</v>
      </c>
      <c r="R13" s="167"/>
      <c r="S13" s="193"/>
      <c r="T13" s="33" t="s">
        <v>14</v>
      </c>
      <c r="U13" s="7" t="s">
        <v>37</v>
      </c>
      <c r="V13" s="165"/>
      <c r="W13" s="170"/>
      <c r="X13" s="110"/>
      <c r="Y13" s="105"/>
      <c r="Z13" s="106"/>
      <c r="AA13" s="150"/>
      <c r="AB13" s="150"/>
    </row>
    <row r="14" spans="1:32" ht="15.6" customHeight="1" x14ac:dyDescent="0.3">
      <c r="B14" s="15" t="str">
        <f>IF(ISBLANK(E14)," ",1)</f>
        <v xml:space="preserve"> </v>
      </c>
      <c r="C14" s="186" t="s">
        <v>3</v>
      </c>
      <c r="D14" s="186"/>
      <c r="E14" s="4"/>
      <c r="F14" s="28" t="str">
        <f t="shared" ref="F14:F31" si="0">IF(AND(B14&lt;&gt;" ",B14&lt;&gt;0),IF(E14="Labour",1500,2500)," ")</f>
        <v xml:space="preserve"> </v>
      </c>
      <c r="G14" s="34"/>
      <c r="H14" s="54"/>
      <c r="I14" s="60" t="str">
        <f ca="1">IFERROR(_xlfn.XLOOKUP(H14,'Imp Tables'!$J$25:$J$31,'Imp Tables'!$K$25:$K$31)," ")</f>
        <v xml:space="preserve"> </v>
      </c>
      <c r="J14" s="34"/>
      <c r="K14" s="54"/>
      <c r="L14" s="63" t="str">
        <f ca="1">IFERROR(_xlfn.XLOOKUP(K14,'Imp Tables'!$J$25:$J$31,'Imp Tables'!$K$25:$K$31)," ")</f>
        <v xml:space="preserve"> </v>
      </c>
      <c r="M14" s="37" t="str">
        <f t="shared" ref="M14:M31" si="1">IF(F14&lt;&gt;" ",IF(H14=K14,IF(AND(G14*24&gt;=8,G14*24&lt;17,J14*24&gt;8,J14*24&lt;=17),ROUND((J14-G14)*24,2)&amp;"   hrs",IF(AND(G14*24&gt;=0,G14*24&lt;8,J14*24&lt;=17),ROUND(J14*24-8,2),IF(AND(G14*24&gt;=0,G14*24&lt;8,J14*24&gt;17),9,IF(AND(G14*24&gt;=8,G14*24&lt;=17,J14*24&gt;17),ROUND(17-G14*24,2),0)))&amp;"   hrs"),IF(K14&gt;H14,IF(AND(G14*24&gt;=8,G14*24&lt;17,J14*24&gt;=0,J14*24&lt;=G14*24),ROUND(17-G14*24,2)+IF(AND(G14*24&gt;8,J14*24+24-G14*24=24),ROUND(G14*24-8,2),IF(AND(J14*24&gt;8,G14*24-J14*24&gt;0),ROUND(J14*24-8,2),0)),IF(AND(G14*24&gt;=J14*24,G14*24&lt;=8),9,IF(AND(G14*24&gt;J14*24,(G14-J14)*24&gt;0,G14*24&gt;=17,J14*24&lt;=17),IF(ROUND(J14*24-8,2)&lt;0,0,ROUND(J14*24-8,2)),IF(AND((G14-J14)*24&gt;=0,G14*24&gt;=17,J14*24&gt;=17),9,0))))&amp;"   hrs",0))," ")</f>
        <v xml:space="preserve"> </v>
      </c>
      <c r="N14" s="40"/>
      <c r="O14" s="31" t="str">
        <f t="shared" ref="O14:O31" si="2">IF(F14&lt;&gt;" ",IFERROR(IF(VALUE(LEFT(M14,3))=0,0,F14/8 *IF(N14="Yes",VALUE(LEFT(M14,3))-1,VALUE(LEFT(M14,1)))),0)," ")</f>
        <v xml:space="preserve"> </v>
      </c>
      <c r="P14" s="28" t="str">
        <f t="shared" ref="P14:P31" si="3">IF(F14&lt;&gt;" ",IF(H14=K14,IF(AND(G14*24&gt;=0,G14*24&lt;=17,J14*24&gt;=17),ROUND((J14*24-17),2),IF(AND(G14*24&gt;=17,J14*24&gt;=17),ROUND((J14-G14)*24,2),0))&amp;"   hrs",IF(K14&gt;H14,IF(AND(G14*24&gt;=0,J14*24&gt;=0,G14*24&lt;=17),7,IF(AND(G14*24&gt;=17,J14*24-24&lt;0),ROUND(24-G14*24,2),0))&amp;"   hrs",0))," ")</f>
        <v xml:space="preserve"> </v>
      </c>
      <c r="Q14" s="40"/>
      <c r="R14" s="31" t="str">
        <f t="shared" ref="R14:R31" si="4">IF(F14&lt;&gt;" ",ROUND(IF(VALUE(LEFT(P14,3))=0,0,AB14/6 *IF(Q14="Yes",VALUE(LEFT(P14,3))-1,VALUE(LEFT(P14,3)))),2)," ")</f>
        <v xml:space="preserve"> </v>
      </c>
      <c r="S14" s="40"/>
      <c r="T14" s="28" t="str">
        <f t="shared" ref="T14:T31" si="5">IF(F14&lt;&gt;" ",IF(H14=K14,IF(AND(G14*24&gt;=0,G14*24&lt;=8,J14*24&lt;=8),ROUND((J14-G14)*24,2)&amp;"   hrs",ROUND(IF(AND(G14*24&gt;=0,G14*24&lt;=8,J14*24&gt;8),8-G14*24,0),2)&amp;"   hrs"),IF(K14&gt;H14,IF(AND(G14*24&gt;=8,J14*24&gt;8),8&amp;"   hrs",IF(AND(G14*24&gt;=0,G14*24&gt;8,J14*24&lt;=8),ROUND(J14*24,2)&amp;"   hrs",IF(AND(G14*24&gt;=0,G14*24&lt;=8,J14*24&lt;=8,G14*24&gt;J14*24),ROUND((8-G14*24)+J14*24,2),IF(AND(G14*24&gt;=0,G14*24&lt;8,J14*24&gt;8),ROUND(8-(G14)*24,2),IF(AND(J14*24=G14*24,G14*24&lt;8,J14*24&lt;8),ROUND((8-G14*24)+J14*24,2),0)))&amp;"   hrs")),0&amp;"   hrs"))," ")</f>
        <v xml:space="preserve"> </v>
      </c>
      <c r="U14" s="40"/>
      <c r="V14" s="31" t="str">
        <f t="shared" ref="V14:V31" si="6">IF(F14&lt;&gt;" ",IFERROR(ROUND(IF(VALUE(LEFT(T14,1))=0,0,IF(S14="No",AB14/7 *IF(U14="Yes",VALUE(LEFT(T14,3))-1,VALUE(LEFT(T14,3))),AB14/5*IF(U14="Yes",VALUE(LEFT(T14,3))-1,VALUE(LEFT(T14,3))))),2),0)," ")</f>
        <v xml:space="preserve"> </v>
      </c>
      <c r="W14" s="37" t="str">
        <f t="shared" ref="W14:W31" si="7">IFERROR(VALUE(LEFT(M14,3))+VALUE(LEFT(P14,3))+VALUE(LEFT(T14,3))," ")</f>
        <v xml:space="preserve"> </v>
      </c>
      <c r="X14" s="72" t="str">
        <f t="shared" ref="X14:X31" si="8">IF(AND(B14&lt;&gt;" ",B14&lt;&gt;0),IF(AND(W14=9,VALUE(LEFT(M14,1))&gt;=4),F14,MROUND(V14+R14+O14,5))," ")</f>
        <v xml:space="preserve"> </v>
      </c>
      <c r="Y14" s="105"/>
      <c r="Z14" s="106"/>
      <c r="AA14" s="40" t="s">
        <v>63</v>
      </c>
      <c r="AB14" s="71" t="str">
        <f t="shared" ref="AB14:AB31" si="9">IF(ISBLANK(AA14)," ",IF(B14&lt;&gt;" ",IF(AA14="Yes",F14+300,F14)," "))</f>
        <v xml:space="preserve"> </v>
      </c>
    </row>
    <row r="15" spans="1:32" ht="15.6" customHeight="1" x14ac:dyDescent="0.3">
      <c r="A15" s="2"/>
      <c r="B15" s="5">
        <f>IFERROR(IF(ISBLANK(E15)," ",B14+1),1)</f>
        <v>1</v>
      </c>
      <c r="C15" s="171" t="s">
        <v>4</v>
      </c>
      <c r="D15" s="171"/>
      <c r="E15" s="3" t="s">
        <v>31</v>
      </c>
      <c r="F15" s="29">
        <f t="shared" si="0"/>
        <v>1500</v>
      </c>
      <c r="G15" s="35">
        <v>0.33333333333333331</v>
      </c>
      <c r="H15" s="55">
        <v>46148</v>
      </c>
      <c r="I15" s="61" t="str">
        <f ca="1">IFERROR(_xlfn.XLOOKUP(H15,'Imp Tables'!$J$25:$J$31,'Imp Tables'!$K$25:$K$31)," ")</f>
        <v>Wednesday</v>
      </c>
      <c r="J15" s="35">
        <v>0.70833333333333337</v>
      </c>
      <c r="K15" s="55">
        <v>46148</v>
      </c>
      <c r="L15" s="64" t="str">
        <f ca="1">IFERROR(_xlfn.XLOOKUP(K15,'Imp Tables'!$J$25:$J$31,'Imp Tables'!$K$25:$K$31)," ")</f>
        <v>Wednesday</v>
      </c>
      <c r="M15" s="38" t="str">
        <f t="shared" si="1"/>
        <v>9   hrs</v>
      </c>
      <c r="N15" s="41" t="s">
        <v>61</v>
      </c>
      <c r="O15" s="32">
        <f t="shared" si="2"/>
        <v>1500</v>
      </c>
      <c r="P15" s="29" t="str">
        <f t="shared" si="3"/>
        <v>0   hrs</v>
      </c>
      <c r="Q15" s="41"/>
      <c r="R15" s="32">
        <f t="shared" si="4"/>
        <v>0</v>
      </c>
      <c r="S15" s="41"/>
      <c r="T15" s="29" t="str">
        <f t="shared" si="5"/>
        <v>0   hrs</v>
      </c>
      <c r="U15" s="41"/>
      <c r="V15" s="32">
        <f t="shared" si="6"/>
        <v>0</v>
      </c>
      <c r="W15" s="38">
        <f t="shared" si="7"/>
        <v>9</v>
      </c>
      <c r="X15" s="73">
        <f t="shared" si="8"/>
        <v>1500</v>
      </c>
      <c r="Y15" s="105"/>
      <c r="Z15" s="106"/>
      <c r="AA15" s="41" t="s">
        <v>63</v>
      </c>
      <c r="AB15" s="51">
        <f t="shared" si="9"/>
        <v>1500</v>
      </c>
    </row>
    <row r="16" spans="1:32" ht="15.6" customHeight="1" x14ac:dyDescent="0.3">
      <c r="A16" s="2"/>
      <c r="B16" s="5" t="str">
        <f>IFERROR(IF(ISBLANK(E16)," ",MAX($B$14:B15)+1)," ")</f>
        <v xml:space="preserve"> </v>
      </c>
      <c r="C16" s="171" t="s">
        <v>20</v>
      </c>
      <c r="D16" s="171"/>
      <c r="E16" s="3"/>
      <c r="F16" s="29" t="str">
        <f t="shared" si="0"/>
        <v xml:space="preserve"> </v>
      </c>
      <c r="G16" s="35"/>
      <c r="H16" s="55"/>
      <c r="I16" s="61" t="str">
        <f ca="1">IFERROR(_xlfn.XLOOKUP(H16,'Imp Tables'!$J$25:$J$31,'Imp Tables'!$K$25:$K$31)," ")</f>
        <v xml:space="preserve"> </v>
      </c>
      <c r="J16" s="35"/>
      <c r="K16" s="55"/>
      <c r="L16" s="64" t="str">
        <f ca="1">IFERROR(_xlfn.XLOOKUP(K16,'Imp Tables'!$J$25:$J$31,'Imp Tables'!$K$25:$K$31)," ")</f>
        <v xml:space="preserve"> </v>
      </c>
      <c r="M16" s="38" t="str">
        <f t="shared" si="1"/>
        <v xml:space="preserve"> </v>
      </c>
      <c r="N16" s="41"/>
      <c r="O16" s="32" t="str">
        <f t="shared" si="2"/>
        <v xml:space="preserve"> </v>
      </c>
      <c r="P16" s="29" t="str">
        <f t="shared" si="3"/>
        <v xml:space="preserve"> </v>
      </c>
      <c r="Q16" s="41"/>
      <c r="R16" s="32" t="str">
        <f t="shared" si="4"/>
        <v xml:space="preserve"> </v>
      </c>
      <c r="S16" s="41"/>
      <c r="T16" s="29" t="str">
        <f t="shared" si="5"/>
        <v xml:space="preserve"> </v>
      </c>
      <c r="U16" s="41"/>
      <c r="V16" s="32" t="str">
        <f t="shared" si="6"/>
        <v xml:space="preserve"> </v>
      </c>
      <c r="W16" s="38" t="str">
        <f t="shared" si="7"/>
        <v xml:space="preserve"> </v>
      </c>
      <c r="X16" s="73" t="str">
        <f t="shared" si="8"/>
        <v xml:space="preserve"> </v>
      </c>
      <c r="Y16" s="105"/>
      <c r="Z16" s="106"/>
      <c r="AA16" s="41" t="s">
        <v>63</v>
      </c>
      <c r="AB16" s="51" t="str">
        <f t="shared" si="9"/>
        <v xml:space="preserve"> </v>
      </c>
    </row>
    <row r="17" spans="2:28" ht="15.6" customHeight="1" x14ac:dyDescent="0.3">
      <c r="B17" s="5">
        <f>IFERROR(IF(ISBLANK(E17)," ",MAX($B$14:B16)+1)," ")</f>
        <v>2</v>
      </c>
      <c r="C17" s="175" t="s">
        <v>5</v>
      </c>
      <c r="D17" s="176"/>
      <c r="E17" s="3" t="s">
        <v>31</v>
      </c>
      <c r="F17" s="29">
        <f t="shared" si="0"/>
        <v>1500</v>
      </c>
      <c r="G17" s="35">
        <v>0.33333333333333331</v>
      </c>
      <c r="H17" s="55">
        <v>46148</v>
      </c>
      <c r="I17" s="61" t="str">
        <f ca="1">IFERROR(_xlfn.XLOOKUP(H17,'Imp Tables'!$J$25:$J$31,'Imp Tables'!$K$25:$K$31)," ")</f>
        <v>Wednesday</v>
      </c>
      <c r="J17" s="35">
        <v>0.70833333333333337</v>
      </c>
      <c r="K17" s="55">
        <v>46148</v>
      </c>
      <c r="L17" s="64" t="str">
        <f ca="1">IFERROR(_xlfn.XLOOKUP(K17,'Imp Tables'!$J$25:$J$31,'Imp Tables'!$K$25:$K$31)," ")</f>
        <v>Wednesday</v>
      </c>
      <c r="M17" s="38" t="str">
        <f t="shared" si="1"/>
        <v>9   hrs</v>
      </c>
      <c r="N17" s="41" t="s">
        <v>61</v>
      </c>
      <c r="O17" s="32">
        <f t="shared" si="2"/>
        <v>1500</v>
      </c>
      <c r="P17" s="29" t="str">
        <f t="shared" si="3"/>
        <v>0   hrs</v>
      </c>
      <c r="Q17" s="41"/>
      <c r="R17" s="32">
        <f t="shared" si="4"/>
        <v>0</v>
      </c>
      <c r="S17" s="41"/>
      <c r="T17" s="29" t="str">
        <f t="shared" si="5"/>
        <v>0   hrs</v>
      </c>
      <c r="U17" s="41"/>
      <c r="V17" s="32">
        <f t="shared" si="6"/>
        <v>0</v>
      </c>
      <c r="W17" s="38">
        <f t="shared" si="7"/>
        <v>9</v>
      </c>
      <c r="X17" s="73">
        <f t="shared" si="8"/>
        <v>1500</v>
      </c>
      <c r="Y17" s="105"/>
      <c r="Z17" s="106"/>
      <c r="AA17" s="41" t="s">
        <v>61</v>
      </c>
      <c r="AB17" s="51">
        <f t="shared" si="9"/>
        <v>1800</v>
      </c>
    </row>
    <row r="18" spans="2:28" ht="15.6" customHeight="1" x14ac:dyDescent="0.3">
      <c r="B18" s="5" t="str">
        <f>IFERROR(IF(ISBLANK(E18)," ",MAX($B$14:B17)+1)," ")</f>
        <v xml:space="preserve"> </v>
      </c>
      <c r="C18" s="171" t="s">
        <v>21</v>
      </c>
      <c r="D18" s="171"/>
      <c r="E18" s="3"/>
      <c r="F18" s="29" t="str">
        <f t="shared" si="0"/>
        <v xml:space="preserve"> </v>
      </c>
      <c r="G18" s="35"/>
      <c r="H18" s="55"/>
      <c r="I18" s="61" t="str">
        <f ca="1">IFERROR(_xlfn.XLOOKUP(H18,'Imp Tables'!$J$25:$J$31,'Imp Tables'!$K$25:$K$31)," ")</f>
        <v xml:space="preserve"> </v>
      </c>
      <c r="J18" s="35"/>
      <c r="K18" s="55"/>
      <c r="L18" s="64" t="str">
        <f ca="1">IFERROR(_xlfn.XLOOKUP(K18,'Imp Tables'!$J$25:$J$31,'Imp Tables'!$K$25:$K$31)," ")</f>
        <v xml:space="preserve"> </v>
      </c>
      <c r="M18" s="38" t="str">
        <f t="shared" si="1"/>
        <v xml:space="preserve"> </v>
      </c>
      <c r="N18" s="41"/>
      <c r="O18" s="32" t="str">
        <f t="shared" si="2"/>
        <v xml:space="preserve"> </v>
      </c>
      <c r="P18" s="29" t="str">
        <f t="shared" si="3"/>
        <v xml:space="preserve"> </v>
      </c>
      <c r="Q18" s="41"/>
      <c r="R18" s="32" t="str">
        <f t="shared" si="4"/>
        <v xml:space="preserve"> </v>
      </c>
      <c r="S18" s="41"/>
      <c r="T18" s="29" t="str">
        <f t="shared" si="5"/>
        <v xml:space="preserve"> </v>
      </c>
      <c r="U18" s="41"/>
      <c r="V18" s="32" t="str">
        <f t="shared" si="6"/>
        <v xml:space="preserve"> </v>
      </c>
      <c r="W18" s="38" t="str">
        <f t="shared" si="7"/>
        <v xml:space="preserve"> </v>
      </c>
      <c r="X18" s="73" t="str">
        <f t="shared" si="8"/>
        <v xml:space="preserve"> </v>
      </c>
      <c r="Y18" s="105"/>
      <c r="Z18" s="106"/>
      <c r="AA18" s="41"/>
      <c r="AB18" s="51" t="str">
        <f t="shared" si="9"/>
        <v xml:space="preserve"> </v>
      </c>
    </row>
    <row r="19" spans="2:28" ht="15.6" customHeight="1" x14ac:dyDescent="0.3">
      <c r="B19" s="5" t="str">
        <f>IFERROR(IF(ISBLANK(E19)," ",MAX($B$14:B18)+1)," ")</f>
        <v xml:space="preserve"> </v>
      </c>
      <c r="C19" s="171" t="s">
        <v>22</v>
      </c>
      <c r="D19" s="171"/>
      <c r="E19" s="3"/>
      <c r="F19" s="29" t="str">
        <f t="shared" si="0"/>
        <v xml:space="preserve"> </v>
      </c>
      <c r="G19" s="35"/>
      <c r="H19" s="55"/>
      <c r="I19" s="61" t="str">
        <f ca="1">IFERROR(_xlfn.XLOOKUP(H19,'Imp Tables'!$J$25:$J$31,'Imp Tables'!$K$25:$K$31)," ")</f>
        <v xml:space="preserve"> </v>
      </c>
      <c r="J19" s="35"/>
      <c r="K19" s="55"/>
      <c r="L19" s="64" t="str">
        <f ca="1">IFERROR(_xlfn.XLOOKUP(K19,'Imp Tables'!$J$25:$J$31,'Imp Tables'!$K$25:$K$31)," ")</f>
        <v xml:space="preserve"> </v>
      </c>
      <c r="M19" s="38" t="str">
        <f t="shared" si="1"/>
        <v xml:space="preserve"> </v>
      </c>
      <c r="N19" s="41"/>
      <c r="O19" s="32" t="str">
        <f t="shared" si="2"/>
        <v xml:space="preserve"> </v>
      </c>
      <c r="P19" s="29" t="str">
        <f t="shared" si="3"/>
        <v xml:space="preserve"> </v>
      </c>
      <c r="Q19" s="41"/>
      <c r="R19" s="32" t="str">
        <f t="shared" si="4"/>
        <v xml:space="preserve"> </v>
      </c>
      <c r="S19" s="41"/>
      <c r="T19" s="29" t="str">
        <f t="shared" si="5"/>
        <v xml:space="preserve"> </v>
      </c>
      <c r="U19" s="41"/>
      <c r="V19" s="32" t="str">
        <f t="shared" si="6"/>
        <v xml:space="preserve"> </v>
      </c>
      <c r="W19" s="38" t="str">
        <f t="shared" si="7"/>
        <v xml:space="preserve"> </v>
      </c>
      <c r="X19" s="73" t="str">
        <f t="shared" si="8"/>
        <v xml:space="preserve"> </v>
      </c>
      <c r="Y19" s="105"/>
      <c r="Z19" s="106"/>
      <c r="AA19" s="41" t="s">
        <v>63</v>
      </c>
      <c r="AB19" s="51" t="str">
        <f t="shared" si="9"/>
        <v xml:space="preserve"> </v>
      </c>
    </row>
    <row r="20" spans="2:28" ht="15.6" customHeight="1" x14ac:dyDescent="0.3">
      <c r="B20" s="5" t="str">
        <f>IFERROR(IF(ISBLANK(E20)," ",MAX($B$14:B19)+1)," ")</f>
        <v xml:space="preserve"> </v>
      </c>
      <c r="C20" s="171" t="s">
        <v>29</v>
      </c>
      <c r="D20" s="171"/>
      <c r="E20" s="3"/>
      <c r="F20" s="29" t="str">
        <f t="shared" si="0"/>
        <v xml:space="preserve"> </v>
      </c>
      <c r="G20" s="35"/>
      <c r="H20" s="55"/>
      <c r="I20" s="61" t="str">
        <f ca="1">IFERROR(_xlfn.XLOOKUP(H20,'Imp Tables'!$J$25:$J$31,'Imp Tables'!$K$25:$K$31)," ")</f>
        <v xml:space="preserve"> </v>
      </c>
      <c r="J20" s="35"/>
      <c r="K20" s="55"/>
      <c r="L20" s="64" t="str">
        <f ca="1">IFERROR(_xlfn.XLOOKUP(K20,'Imp Tables'!$J$25:$J$31,'Imp Tables'!$K$25:$K$31)," ")</f>
        <v xml:space="preserve"> </v>
      </c>
      <c r="M20" s="38" t="str">
        <f t="shared" si="1"/>
        <v xml:space="preserve"> </v>
      </c>
      <c r="N20" s="41"/>
      <c r="O20" s="32" t="str">
        <f t="shared" si="2"/>
        <v xml:space="preserve"> </v>
      </c>
      <c r="P20" s="29" t="str">
        <f t="shared" si="3"/>
        <v xml:space="preserve"> </v>
      </c>
      <c r="Q20" s="41"/>
      <c r="R20" s="32" t="str">
        <f t="shared" si="4"/>
        <v xml:space="preserve"> </v>
      </c>
      <c r="S20" s="41"/>
      <c r="T20" s="29" t="str">
        <f t="shared" si="5"/>
        <v xml:space="preserve"> </v>
      </c>
      <c r="U20" s="41"/>
      <c r="V20" s="32" t="str">
        <f t="shared" si="6"/>
        <v xml:space="preserve"> </v>
      </c>
      <c r="W20" s="38" t="str">
        <f t="shared" si="7"/>
        <v xml:space="preserve"> </v>
      </c>
      <c r="X20" s="73" t="str">
        <f t="shared" si="8"/>
        <v xml:space="preserve"> </v>
      </c>
      <c r="Y20" s="105"/>
      <c r="Z20" s="106"/>
      <c r="AA20" s="41"/>
      <c r="AB20" s="51" t="str">
        <f t="shared" si="9"/>
        <v xml:space="preserve"> </v>
      </c>
    </row>
    <row r="21" spans="2:28" ht="15.6" customHeight="1" x14ac:dyDescent="0.3">
      <c r="B21" s="5" t="str">
        <f>IFERROR(IF(ISBLANK(E21)," ",MAX($B$14:B20)+1)," ")</f>
        <v xml:space="preserve"> </v>
      </c>
      <c r="C21" s="171" t="s">
        <v>30</v>
      </c>
      <c r="D21" s="171"/>
      <c r="E21" s="3"/>
      <c r="F21" s="29" t="str">
        <f t="shared" si="0"/>
        <v xml:space="preserve"> </v>
      </c>
      <c r="G21" s="35"/>
      <c r="H21" s="55"/>
      <c r="I21" s="61" t="str">
        <f ca="1">IFERROR(_xlfn.XLOOKUP(H21,'Imp Tables'!$J$25:$J$31,'Imp Tables'!$K$25:$K$31)," ")</f>
        <v xml:space="preserve"> </v>
      </c>
      <c r="J21" s="35"/>
      <c r="K21" s="55"/>
      <c r="L21" s="64" t="str">
        <f ca="1">IFERROR(_xlfn.XLOOKUP(K21,'Imp Tables'!$J$25:$J$31,'Imp Tables'!$K$25:$K$31)," ")</f>
        <v xml:space="preserve"> </v>
      </c>
      <c r="M21" s="38" t="str">
        <f t="shared" si="1"/>
        <v xml:space="preserve"> </v>
      </c>
      <c r="N21" s="41"/>
      <c r="O21" s="32" t="str">
        <f t="shared" si="2"/>
        <v xml:space="preserve"> </v>
      </c>
      <c r="P21" s="29" t="str">
        <f t="shared" si="3"/>
        <v xml:space="preserve"> </v>
      </c>
      <c r="Q21" s="41"/>
      <c r="R21" s="32" t="str">
        <f t="shared" si="4"/>
        <v xml:space="preserve"> </v>
      </c>
      <c r="S21" s="41"/>
      <c r="T21" s="29" t="str">
        <f t="shared" si="5"/>
        <v xml:space="preserve"> </v>
      </c>
      <c r="U21" s="41"/>
      <c r="V21" s="32" t="str">
        <f t="shared" si="6"/>
        <v xml:space="preserve"> </v>
      </c>
      <c r="W21" s="38" t="str">
        <f t="shared" si="7"/>
        <v xml:space="preserve"> </v>
      </c>
      <c r="X21" s="73" t="str">
        <f t="shared" si="8"/>
        <v xml:space="preserve"> </v>
      </c>
      <c r="Y21" s="105"/>
      <c r="Z21" s="106"/>
      <c r="AA21" s="41"/>
      <c r="AB21" s="51" t="str">
        <f t="shared" si="9"/>
        <v xml:space="preserve"> </v>
      </c>
    </row>
    <row r="22" spans="2:28" ht="15.6" customHeight="1" x14ac:dyDescent="0.3">
      <c r="B22" s="5" t="str">
        <f>IFERROR(IF(ISBLANK(E22)," ",MAX($B$14:B21)+1)," ")</f>
        <v xml:space="preserve"> </v>
      </c>
      <c r="C22" s="171" t="s">
        <v>38</v>
      </c>
      <c r="D22" s="171"/>
      <c r="E22" s="3"/>
      <c r="F22" s="29" t="str">
        <f t="shared" si="0"/>
        <v xml:space="preserve"> </v>
      </c>
      <c r="G22" s="35"/>
      <c r="H22" s="55"/>
      <c r="I22" s="61" t="str">
        <f ca="1">IFERROR(_xlfn.XLOOKUP(H22,'Imp Tables'!$J$25:$J$31,'Imp Tables'!$K$25:$K$31)," ")</f>
        <v xml:space="preserve"> </v>
      </c>
      <c r="J22" s="35"/>
      <c r="K22" s="55"/>
      <c r="L22" s="64" t="str">
        <f ca="1">IFERROR(_xlfn.XLOOKUP(K22,'Imp Tables'!$J$25:$J$31,'Imp Tables'!$K$25:$K$31)," ")</f>
        <v xml:space="preserve"> </v>
      </c>
      <c r="M22" s="38" t="str">
        <f t="shared" si="1"/>
        <v xml:space="preserve"> </v>
      </c>
      <c r="N22" s="41"/>
      <c r="O22" s="32" t="str">
        <f t="shared" si="2"/>
        <v xml:space="preserve"> </v>
      </c>
      <c r="P22" s="29" t="str">
        <f t="shared" si="3"/>
        <v xml:space="preserve"> </v>
      </c>
      <c r="Q22" s="41"/>
      <c r="R22" s="32" t="str">
        <f t="shared" si="4"/>
        <v xml:space="preserve"> </v>
      </c>
      <c r="S22" s="41"/>
      <c r="T22" s="29" t="str">
        <f t="shared" si="5"/>
        <v xml:space="preserve"> </v>
      </c>
      <c r="U22" s="41"/>
      <c r="V22" s="32" t="str">
        <f t="shared" si="6"/>
        <v xml:space="preserve"> </v>
      </c>
      <c r="W22" s="38" t="str">
        <f t="shared" si="7"/>
        <v xml:space="preserve"> </v>
      </c>
      <c r="X22" s="73" t="str">
        <f t="shared" si="8"/>
        <v xml:space="preserve"> </v>
      </c>
      <c r="Y22" s="105"/>
      <c r="Z22" s="106"/>
      <c r="AA22" s="41"/>
      <c r="AB22" s="51" t="str">
        <f t="shared" si="9"/>
        <v xml:space="preserve"> </v>
      </c>
    </row>
    <row r="23" spans="2:28" ht="15.6" customHeight="1" x14ac:dyDescent="0.3">
      <c r="B23" s="5" t="str">
        <f>IFERROR(IF(ISBLANK(E23)," ",MAX($B$14:B22)+1)," ")</f>
        <v xml:space="preserve"> </v>
      </c>
      <c r="C23" s="171" t="s">
        <v>34</v>
      </c>
      <c r="D23" s="171"/>
      <c r="E23" s="3"/>
      <c r="F23" s="29" t="str">
        <f t="shared" si="0"/>
        <v xml:space="preserve"> </v>
      </c>
      <c r="G23" s="35"/>
      <c r="H23" s="55"/>
      <c r="I23" s="61" t="str">
        <f ca="1">IFERROR(_xlfn.XLOOKUP(H23,'Imp Tables'!$J$25:$J$31,'Imp Tables'!$K$25:$K$31)," ")</f>
        <v xml:space="preserve"> </v>
      </c>
      <c r="J23" s="35"/>
      <c r="K23" s="55"/>
      <c r="L23" s="64" t="str">
        <f ca="1">IFERROR(_xlfn.XLOOKUP(K23,'Imp Tables'!$J$25:$J$31,'Imp Tables'!$K$25:$K$31)," ")</f>
        <v xml:space="preserve"> </v>
      </c>
      <c r="M23" s="38" t="str">
        <f t="shared" si="1"/>
        <v xml:space="preserve"> </v>
      </c>
      <c r="N23" s="41"/>
      <c r="O23" s="32" t="str">
        <f t="shared" si="2"/>
        <v xml:space="preserve"> </v>
      </c>
      <c r="P23" s="29" t="str">
        <f t="shared" si="3"/>
        <v xml:space="preserve"> </v>
      </c>
      <c r="Q23" s="41"/>
      <c r="R23" s="32" t="str">
        <f t="shared" si="4"/>
        <v xml:space="preserve"> </v>
      </c>
      <c r="S23" s="41"/>
      <c r="T23" s="29" t="str">
        <f t="shared" si="5"/>
        <v xml:space="preserve"> </v>
      </c>
      <c r="U23" s="41"/>
      <c r="V23" s="32" t="str">
        <f t="shared" si="6"/>
        <v xml:space="preserve"> </v>
      </c>
      <c r="W23" s="38" t="str">
        <f t="shared" si="7"/>
        <v xml:space="preserve"> </v>
      </c>
      <c r="X23" s="73" t="str">
        <f t="shared" si="8"/>
        <v xml:space="preserve"> </v>
      </c>
      <c r="Y23" s="105"/>
      <c r="Z23" s="106"/>
      <c r="AA23" s="41"/>
      <c r="AB23" s="51" t="str">
        <f t="shared" si="9"/>
        <v xml:space="preserve"> </v>
      </c>
    </row>
    <row r="24" spans="2:28" ht="15.6" customHeight="1" x14ac:dyDescent="0.3">
      <c r="B24" s="5" t="str">
        <f>IFERROR(IF(ISBLANK(E24)," ",MAX($B$14:B23)+1)," ")</f>
        <v xml:space="preserve"> </v>
      </c>
      <c r="C24" s="171" t="s">
        <v>35</v>
      </c>
      <c r="D24" s="171"/>
      <c r="E24" s="3"/>
      <c r="F24" s="29" t="str">
        <f t="shared" si="0"/>
        <v xml:space="preserve"> </v>
      </c>
      <c r="G24" s="35"/>
      <c r="H24" s="55"/>
      <c r="I24" s="61" t="str">
        <f ca="1">IFERROR(_xlfn.XLOOKUP(H24,'Imp Tables'!$J$25:$J$31,'Imp Tables'!$K$25:$K$31)," ")</f>
        <v xml:space="preserve"> </v>
      </c>
      <c r="J24" s="35"/>
      <c r="K24" s="55"/>
      <c r="L24" s="64" t="str">
        <f ca="1">IFERROR(_xlfn.XLOOKUP(K24,'Imp Tables'!$J$25:$J$31,'Imp Tables'!$K$25:$K$31)," ")</f>
        <v xml:space="preserve"> </v>
      </c>
      <c r="M24" s="38" t="str">
        <f t="shared" si="1"/>
        <v xml:space="preserve"> </v>
      </c>
      <c r="N24" s="41"/>
      <c r="O24" s="32" t="str">
        <f t="shared" si="2"/>
        <v xml:space="preserve"> </v>
      </c>
      <c r="P24" s="29" t="str">
        <f t="shared" si="3"/>
        <v xml:space="preserve"> </v>
      </c>
      <c r="Q24" s="41"/>
      <c r="R24" s="32" t="str">
        <f t="shared" si="4"/>
        <v xml:space="preserve"> </v>
      </c>
      <c r="S24" s="41"/>
      <c r="T24" s="29" t="str">
        <f t="shared" si="5"/>
        <v xml:space="preserve"> </v>
      </c>
      <c r="U24" s="41"/>
      <c r="V24" s="32" t="str">
        <f t="shared" si="6"/>
        <v xml:space="preserve"> </v>
      </c>
      <c r="W24" s="38" t="str">
        <f t="shared" si="7"/>
        <v xml:space="preserve"> </v>
      </c>
      <c r="X24" s="73" t="str">
        <f t="shared" si="8"/>
        <v xml:space="preserve"> </v>
      </c>
      <c r="Y24" s="105"/>
      <c r="Z24" s="106"/>
      <c r="AA24" s="41"/>
      <c r="AB24" s="51" t="str">
        <f t="shared" si="9"/>
        <v xml:space="preserve"> </v>
      </c>
    </row>
    <row r="25" spans="2:28" ht="15" customHeight="1" x14ac:dyDescent="0.3">
      <c r="B25" s="5" t="str">
        <f>IFERROR(IF(ISBLANK(E25)," ",MAX($B$14:B24)+1)," ")</f>
        <v xml:space="preserve"> </v>
      </c>
      <c r="C25" s="171" t="s">
        <v>36</v>
      </c>
      <c r="D25" s="171"/>
      <c r="E25" s="3"/>
      <c r="F25" s="29" t="str">
        <f t="shared" si="0"/>
        <v xml:space="preserve"> </v>
      </c>
      <c r="G25" s="35"/>
      <c r="H25" s="55"/>
      <c r="I25" s="61" t="str">
        <f ca="1">IFERROR(_xlfn.XLOOKUP(H25,'Imp Tables'!$J$25:$J$31,'Imp Tables'!$K$25:$K$31)," ")</f>
        <v xml:space="preserve"> </v>
      </c>
      <c r="J25" s="35"/>
      <c r="K25" s="55"/>
      <c r="L25" s="64" t="str">
        <f ca="1">IFERROR(_xlfn.XLOOKUP(K25,'Imp Tables'!$J$25:$J$31,'Imp Tables'!$K$25:$K$31)," ")</f>
        <v xml:space="preserve"> </v>
      </c>
      <c r="M25" s="38" t="str">
        <f t="shared" si="1"/>
        <v xml:space="preserve"> </v>
      </c>
      <c r="N25" s="41"/>
      <c r="O25" s="32" t="str">
        <f t="shared" si="2"/>
        <v xml:space="preserve"> </v>
      </c>
      <c r="P25" s="29" t="str">
        <f t="shared" si="3"/>
        <v xml:space="preserve"> </v>
      </c>
      <c r="Q25" s="41"/>
      <c r="R25" s="32" t="str">
        <f t="shared" si="4"/>
        <v xml:space="preserve"> </v>
      </c>
      <c r="S25" s="41"/>
      <c r="T25" s="29" t="str">
        <f t="shared" si="5"/>
        <v xml:space="preserve"> </v>
      </c>
      <c r="U25" s="41"/>
      <c r="V25" s="32" t="str">
        <f t="shared" si="6"/>
        <v xml:space="preserve"> </v>
      </c>
      <c r="W25" s="38" t="str">
        <f t="shared" si="7"/>
        <v xml:space="preserve"> </v>
      </c>
      <c r="X25" s="73" t="str">
        <f t="shared" si="8"/>
        <v xml:space="preserve"> </v>
      </c>
      <c r="Y25" s="105"/>
      <c r="Z25" s="106"/>
      <c r="AA25" s="41"/>
      <c r="AB25" s="51" t="str">
        <f t="shared" si="9"/>
        <v xml:space="preserve"> </v>
      </c>
    </row>
    <row r="26" spans="2:28" ht="15" customHeight="1" x14ac:dyDescent="0.3">
      <c r="B26" s="5" t="str">
        <f>IFERROR(IF(ISBLANK(E26)," ",MAX($B$14:B25)+1)," ")</f>
        <v xml:space="preserve"> </v>
      </c>
      <c r="C26" s="171" t="s">
        <v>57</v>
      </c>
      <c r="D26" s="171"/>
      <c r="E26" s="3"/>
      <c r="F26" s="29" t="str">
        <f t="shared" si="0"/>
        <v xml:space="preserve"> </v>
      </c>
      <c r="G26" s="35"/>
      <c r="H26" s="55"/>
      <c r="I26" s="61" t="str">
        <f ca="1">IFERROR(_xlfn.XLOOKUP(H26,'Imp Tables'!$J$25:$J$31,'Imp Tables'!$K$25:$K$31)," ")</f>
        <v xml:space="preserve"> </v>
      </c>
      <c r="J26" s="35"/>
      <c r="K26" s="55"/>
      <c r="L26" s="64" t="str">
        <f ca="1">IFERROR(_xlfn.XLOOKUP(K26,'Imp Tables'!$J$25:$J$31,'Imp Tables'!$K$25:$K$31)," ")</f>
        <v xml:space="preserve"> </v>
      </c>
      <c r="M26" s="38" t="str">
        <f t="shared" si="1"/>
        <v xml:space="preserve"> </v>
      </c>
      <c r="N26" s="41"/>
      <c r="O26" s="32" t="str">
        <f t="shared" si="2"/>
        <v xml:space="preserve"> </v>
      </c>
      <c r="P26" s="29" t="str">
        <f t="shared" si="3"/>
        <v xml:space="preserve"> </v>
      </c>
      <c r="Q26" s="41"/>
      <c r="R26" s="32" t="str">
        <f t="shared" si="4"/>
        <v xml:space="preserve"> </v>
      </c>
      <c r="S26" s="41"/>
      <c r="T26" s="29" t="str">
        <f t="shared" si="5"/>
        <v xml:space="preserve"> </v>
      </c>
      <c r="U26" s="41"/>
      <c r="V26" s="32" t="str">
        <f t="shared" si="6"/>
        <v xml:space="preserve"> </v>
      </c>
      <c r="W26" s="38" t="str">
        <f t="shared" si="7"/>
        <v xml:space="preserve"> </v>
      </c>
      <c r="X26" s="73" t="str">
        <f t="shared" si="8"/>
        <v xml:space="preserve"> </v>
      </c>
      <c r="Y26" s="105"/>
      <c r="Z26" s="106"/>
      <c r="AA26" s="41"/>
      <c r="AB26" s="51" t="str">
        <f t="shared" si="9"/>
        <v xml:space="preserve"> </v>
      </c>
    </row>
    <row r="27" spans="2:28" ht="15" customHeight="1" x14ac:dyDescent="0.3">
      <c r="B27" s="5" t="str">
        <f>IFERROR(IF(ISBLANK(E27)," ",MAX($B$14:B26)+1)," ")</f>
        <v xml:space="preserve"> </v>
      </c>
      <c r="C27" s="171" t="s">
        <v>62</v>
      </c>
      <c r="D27" s="171"/>
      <c r="E27" s="3"/>
      <c r="F27" s="29" t="str">
        <f t="shared" si="0"/>
        <v xml:space="preserve"> </v>
      </c>
      <c r="G27" s="35"/>
      <c r="H27" s="55"/>
      <c r="I27" s="61" t="str">
        <f ca="1">IFERROR(_xlfn.XLOOKUP(H27,'Imp Tables'!$J$25:$J$31,'Imp Tables'!$K$25:$K$31)," ")</f>
        <v xml:space="preserve"> </v>
      </c>
      <c r="J27" s="35"/>
      <c r="K27" s="55"/>
      <c r="L27" s="64" t="str">
        <f ca="1">IFERROR(_xlfn.XLOOKUP(K27,'Imp Tables'!$J$25:$J$31,'Imp Tables'!$K$25:$K$31)," ")</f>
        <v xml:space="preserve"> </v>
      </c>
      <c r="M27" s="38" t="str">
        <f t="shared" si="1"/>
        <v xml:space="preserve"> </v>
      </c>
      <c r="N27" s="41"/>
      <c r="O27" s="32" t="str">
        <f t="shared" si="2"/>
        <v xml:space="preserve"> </v>
      </c>
      <c r="P27" s="29" t="str">
        <f t="shared" si="3"/>
        <v xml:space="preserve"> </v>
      </c>
      <c r="Q27" s="41"/>
      <c r="R27" s="32" t="str">
        <f t="shared" si="4"/>
        <v xml:space="preserve"> </v>
      </c>
      <c r="S27" s="41"/>
      <c r="T27" s="29" t="str">
        <f t="shared" si="5"/>
        <v xml:space="preserve"> </v>
      </c>
      <c r="U27" s="41"/>
      <c r="V27" s="32" t="str">
        <f t="shared" si="6"/>
        <v xml:space="preserve"> </v>
      </c>
      <c r="W27" s="38" t="str">
        <f t="shared" si="7"/>
        <v xml:space="preserve"> </v>
      </c>
      <c r="X27" s="73" t="str">
        <f t="shared" si="8"/>
        <v xml:space="preserve"> </v>
      </c>
      <c r="Y27" s="105"/>
      <c r="Z27" s="106"/>
      <c r="AA27" s="41" t="s">
        <v>63</v>
      </c>
      <c r="AB27" s="51" t="str">
        <f t="shared" si="9"/>
        <v xml:space="preserve"> </v>
      </c>
    </row>
    <row r="28" spans="2:28" ht="15" customHeight="1" x14ac:dyDescent="0.3">
      <c r="B28" s="5" t="str">
        <f>IFERROR(IF(ISBLANK(E28)," ",MAX($B$14:B27)+1)," ")</f>
        <v xml:space="preserve"> </v>
      </c>
      <c r="C28" s="171"/>
      <c r="D28" s="171"/>
      <c r="E28" s="3"/>
      <c r="F28" s="29" t="str">
        <f t="shared" si="0"/>
        <v xml:space="preserve"> </v>
      </c>
      <c r="G28" s="35"/>
      <c r="H28" s="55"/>
      <c r="I28" s="61" t="str">
        <f ca="1">IFERROR(_xlfn.XLOOKUP(H28,'Imp Tables'!$J$25:$J$31,'Imp Tables'!$K$25:$K$31)," ")</f>
        <v xml:space="preserve"> </v>
      </c>
      <c r="J28" s="35"/>
      <c r="K28" s="55"/>
      <c r="L28" s="64" t="str">
        <f ca="1">IFERROR(_xlfn.XLOOKUP(K28,'Imp Tables'!$J$25:$J$31,'Imp Tables'!$K$25:$K$31)," ")</f>
        <v xml:space="preserve"> </v>
      </c>
      <c r="M28" s="38" t="str">
        <f t="shared" si="1"/>
        <v xml:space="preserve"> </v>
      </c>
      <c r="N28" s="41"/>
      <c r="O28" s="32" t="str">
        <f t="shared" si="2"/>
        <v xml:space="preserve"> </v>
      </c>
      <c r="P28" s="29" t="str">
        <f t="shared" si="3"/>
        <v xml:space="preserve"> </v>
      </c>
      <c r="Q28" s="41"/>
      <c r="R28" s="32" t="str">
        <f t="shared" si="4"/>
        <v xml:space="preserve"> </v>
      </c>
      <c r="S28" s="41"/>
      <c r="T28" s="29" t="str">
        <f t="shared" si="5"/>
        <v xml:space="preserve"> </v>
      </c>
      <c r="U28" s="41"/>
      <c r="V28" s="32" t="str">
        <f t="shared" si="6"/>
        <v xml:space="preserve"> </v>
      </c>
      <c r="W28" s="38" t="str">
        <f t="shared" si="7"/>
        <v xml:space="preserve"> </v>
      </c>
      <c r="X28" s="73" t="str">
        <f t="shared" si="8"/>
        <v xml:space="preserve"> </v>
      </c>
      <c r="Y28" s="105"/>
      <c r="Z28" s="106"/>
      <c r="AA28" s="41"/>
      <c r="AB28" s="51" t="str">
        <f t="shared" si="9"/>
        <v xml:space="preserve"> </v>
      </c>
    </row>
    <row r="29" spans="2:28" ht="15" customHeight="1" x14ac:dyDescent="0.3">
      <c r="B29" s="5" t="str">
        <f>IFERROR(IF(ISBLANK(E29)," ",MAX($B$14:B28)+1)," ")</f>
        <v xml:space="preserve"> </v>
      </c>
      <c r="C29" s="171"/>
      <c r="D29" s="171"/>
      <c r="E29" s="3"/>
      <c r="F29" s="29" t="str">
        <f t="shared" si="0"/>
        <v xml:space="preserve"> </v>
      </c>
      <c r="G29" s="35"/>
      <c r="H29" s="55"/>
      <c r="I29" s="61" t="str">
        <f ca="1">IFERROR(_xlfn.XLOOKUP(H29,'Imp Tables'!$J$25:$J$31,'Imp Tables'!$K$25:$K$31)," ")</f>
        <v xml:space="preserve"> </v>
      </c>
      <c r="J29" s="35"/>
      <c r="K29" s="55"/>
      <c r="L29" s="64" t="str">
        <f ca="1">IFERROR(_xlfn.XLOOKUP(K29,'Imp Tables'!$J$25:$J$31,'Imp Tables'!$K$25:$K$31)," ")</f>
        <v xml:space="preserve"> </v>
      </c>
      <c r="M29" s="38" t="str">
        <f t="shared" si="1"/>
        <v xml:space="preserve"> </v>
      </c>
      <c r="N29" s="41"/>
      <c r="O29" s="32" t="str">
        <f t="shared" si="2"/>
        <v xml:space="preserve"> </v>
      </c>
      <c r="P29" s="29" t="str">
        <f t="shared" si="3"/>
        <v xml:space="preserve"> </v>
      </c>
      <c r="Q29" s="41"/>
      <c r="R29" s="32" t="str">
        <f t="shared" si="4"/>
        <v xml:space="preserve"> </v>
      </c>
      <c r="S29" s="41"/>
      <c r="T29" s="29" t="str">
        <f t="shared" si="5"/>
        <v xml:space="preserve"> </v>
      </c>
      <c r="U29" s="41"/>
      <c r="V29" s="32" t="str">
        <f t="shared" si="6"/>
        <v xml:space="preserve"> </v>
      </c>
      <c r="W29" s="38" t="str">
        <f t="shared" si="7"/>
        <v xml:space="preserve"> </v>
      </c>
      <c r="X29" s="73" t="str">
        <f t="shared" si="8"/>
        <v xml:space="preserve"> </v>
      </c>
      <c r="Y29" s="105"/>
      <c r="Z29" s="106"/>
      <c r="AA29" s="41"/>
      <c r="AB29" s="51" t="str">
        <f t="shared" si="9"/>
        <v xml:space="preserve"> </v>
      </c>
    </row>
    <row r="30" spans="2:28" ht="15" customHeight="1" x14ac:dyDescent="0.3">
      <c r="B30" s="5" t="str">
        <f>IFERROR(IF(ISBLANK(E30)," ",MAX($B$14:B29)+1)," ")</f>
        <v xml:space="preserve"> </v>
      </c>
      <c r="C30" s="171"/>
      <c r="D30" s="171"/>
      <c r="E30" s="3"/>
      <c r="F30" s="29" t="str">
        <f t="shared" si="0"/>
        <v xml:space="preserve"> </v>
      </c>
      <c r="G30" s="35"/>
      <c r="H30" s="55"/>
      <c r="I30" s="61" t="str">
        <f ca="1">IFERROR(_xlfn.XLOOKUP(H30,'Imp Tables'!$J$25:$J$31,'Imp Tables'!$K$25:$K$31)," ")</f>
        <v xml:space="preserve"> </v>
      </c>
      <c r="J30" s="35"/>
      <c r="K30" s="55"/>
      <c r="L30" s="64" t="str">
        <f ca="1">IFERROR(_xlfn.XLOOKUP(K30,'Imp Tables'!$J$25:$J$31,'Imp Tables'!$K$25:$K$31)," ")</f>
        <v xml:space="preserve"> </v>
      </c>
      <c r="M30" s="38" t="str">
        <f t="shared" si="1"/>
        <v xml:space="preserve"> </v>
      </c>
      <c r="N30" s="41"/>
      <c r="O30" s="32" t="str">
        <f t="shared" si="2"/>
        <v xml:space="preserve"> </v>
      </c>
      <c r="P30" s="29" t="str">
        <f t="shared" si="3"/>
        <v xml:space="preserve"> </v>
      </c>
      <c r="Q30" s="41"/>
      <c r="R30" s="32" t="str">
        <f t="shared" si="4"/>
        <v xml:space="preserve"> </v>
      </c>
      <c r="S30" s="41"/>
      <c r="T30" s="29" t="str">
        <f t="shared" si="5"/>
        <v xml:space="preserve"> </v>
      </c>
      <c r="U30" s="41"/>
      <c r="V30" s="32" t="str">
        <f t="shared" si="6"/>
        <v xml:space="preserve"> </v>
      </c>
      <c r="W30" s="38" t="str">
        <f t="shared" si="7"/>
        <v xml:space="preserve"> </v>
      </c>
      <c r="X30" s="73" t="str">
        <f t="shared" si="8"/>
        <v xml:space="preserve"> </v>
      </c>
      <c r="Y30" s="105"/>
      <c r="Z30" s="106"/>
      <c r="AA30" s="41"/>
      <c r="AB30" s="51" t="str">
        <f t="shared" si="9"/>
        <v xml:space="preserve"> </v>
      </c>
    </row>
    <row r="31" spans="2:28" ht="15" customHeight="1" thickBot="1" x14ac:dyDescent="0.35">
      <c r="B31" s="6" t="str">
        <f>IFERROR(IF(ISBLANK(E31)," ",MAX($B$14:B30)+1)," ")</f>
        <v xml:space="preserve"> </v>
      </c>
      <c r="C31" s="172"/>
      <c r="D31" s="172"/>
      <c r="E31" s="7"/>
      <c r="F31" s="30" t="str">
        <f t="shared" si="0"/>
        <v xml:space="preserve"> </v>
      </c>
      <c r="G31" s="36"/>
      <c r="H31" s="56"/>
      <c r="I31" s="62" t="str">
        <f ca="1">IFERROR(_xlfn.XLOOKUP(H31,'Imp Tables'!$J$25:$J$31,'Imp Tables'!$K$25:$K$31)," ")</f>
        <v xml:space="preserve"> </v>
      </c>
      <c r="J31" s="36"/>
      <c r="K31" s="56"/>
      <c r="L31" s="65" t="str">
        <f ca="1">IFERROR(_xlfn.XLOOKUP(K31,'Imp Tables'!$J$25:$J$31,'Imp Tables'!$K$25:$K$31)," ")</f>
        <v xml:space="preserve"> </v>
      </c>
      <c r="M31" s="39" t="str">
        <f t="shared" si="1"/>
        <v xml:space="preserve"> </v>
      </c>
      <c r="N31" s="42"/>
      <c r="O31" s="33" t="str">
        <f t="shared" si="2"/>
        <v xml:space="preserve"> </v>
      </c>
      <c r="P31" s="30" t="str">
        <f t="shared" si="3"/>
        <v xml:space="preserve"> </v>
      </c>
      <c r="Q31" s="42"/>
      <c r="R31" s="33" t="str">
        <f t="shared" si="4"/>
        <v xml:space="preserve"> </v>
      </c>
      <c r="S31" s="42"/>
      <c r="T31" s="30" t="str">
        <f t="shared" si="5"/>
        <v xml:space="preserve"> </v>
      </c>
      <c r="U31" s="42"/>
      <c r="V31" s="33" t="str">
        <f t="shared" si="6"/>
        <v xml:space="preserve"> </v>
      </c>
      <c r="W31" s="39" t="str">
        <f t="shared" si="7"/>
        <v xml:space="preserve"> </v>
      </c>
      <c r="X31" s="74" t="str">
        <f t="shared" si="8"/>
        <v xml:space="preserve"> </v>
      </c>
      <c r="Y31" s="107"/>
      <c r="Z31" s="108"/>
      <c r="AA31" s="42"/>
      <c r="AB31" s="50" t="str">
        <f t="shared" si="9"/>
        <v xml:space="preserve"> </v>
      </c>
    </row>
    <row r="32" spans="2:28" ht="15" customHeight="1" x14ac:dyDescent="0.3">
      <c r="C32" s="14"/>
      <c r="D32" s="14"/>
      <c r="K32" s="53"/>
      <c r="L32" s="53"/>
      <c r="U32" s="103" t="s">
        <v>24</v>
      </c>
      <c r="V32" s="139"/>
      <c r="W32" s="104"/>
      <c r="X32" s="150" t="str">
        <f>ROUND(SUM(X14:X31),0)&amp;" Rs"</f>
        <v>3000 Rs</v>
      </c>
    </row>
    <row r="33" spans="3:28" ht="15" customHeight="1" thickBot="1" x14ac:dyDescent="0.35">
      <c r="C33" s="14"/>
      <c r="D33" s="14"/>
      <c r="K33" s="53"/>
      <c r="L33" s="53"/>
      <c r="U33" s="107"/>
      <c r="V33" s="149"/>
      <c r="W33" s="108"/>
      <c r="X33" s="151"/>
    </row>
    <row r="34" spans="3:28" ht="15" customHeight="1" x14ac:dyDescent="0.3">
      <c r="C34" s="14"/>
      <c r="D34" s="14"/>
    </row>
    <row r="35" spans="3:28" ht="15" customHeight="1" thickBot="1" x14ac:dyDescent="0.35">
      <c r="C35" s="14"/>
      <c r="D35" s="14"/>
    </row>
    <row r="36" spans="3:28" ht="15" customHeight="1" x14ac:dyDescent="0.3">
      <c r="C36" s="14"/>
      <c r="D36" s="14"/>
      <c r="E36" s="103"/>
      <c r="F36" s="104"/>
      <c r="G36" s="130"/>
      <c r="H36" s="132"/>
      <c r="I36" s="121" t="s">
        <v>68</v>
      </c>
      <c r="J36" s="122"/>
      <c r="K36" s="122"/>
      <c r="L36" s="123"/>
    </row>
    <row r="37" spans="3:28" ht="15" customHeight="1" x14ac:dyDescent="0.3">
      <c r="C37" s="14"/>
      <c r="D37" s="14"/>
      <c r="E37" s="105"/>
      <c r="F37" s="106"/>
      <c r="G37" s="133"/>
      <c r="H37" s="135"/>
      <c r="I37" s="124"/>
      <c r="J37" s="125"/>
      <c r="K37" s="125"/>
      <c r="L37" s="126"/>
    </row>
    <row r="38" spans="3:28" ht="15" customHeight="1" x14ac:dyDescent="0.3">
      <c r="C38" s="14"/>
      <c r="D38" s="14"/>
      <c r="E38" s="105"/>
      <c r="F38" s="106"/>
      <c r="G38" s="133"/>
      <c r="H38" s="135"/>
      <c r="I38" s="124"/>
      <c r="J38" s="125"/>
      <c r="K38" s="125"/>
      <c r="L38" s="126"/>
    </row>
    <row r="39" spans="3:28" ht="15" customHeight="1" thickBot="1" x14ac:dyDescent="0.35">
      <c r="C39" s="14"/>
      <c r="D39" s="14"/>
      <c r="E39" s="107"/>
      <c r="F39" s="108"/>
      <c r="G39" s="136"/>
      <c r="H39" s="138"/>
      <c r="I39" s="127"/>
      <c r="J39" s="128"/>
      <c r="K39" s="128"/>
      <c r="L39" s="129"/>
    </row>
    <row r="40" spans="3:28" ht="15" customHeight="1" x14ac:dyDescent="0.3">
      <c r="C40" s="14"/>
      <c r="D40" s="14"/>
    </row>
    <row r="41" spans="3:28" ht="15" customHeight="1" x14ac:dyDescent="0.3">
      <c r="C41" s="14"/>
      <c r="D41" s="14"/>
    </row>
    <row r="42" spans="3:28" ht="15" customHeight="1" x14ac:dyDescent="0.3">
      <c r="C42" s="14"/>
      <c r="D42" s="14"/>
    </row>
    <row r="43" spans="3:28" ht="15" customHeight="1" x14ac:dyDescent="0.3">
      <c r="C43" s="14"/>
      <c r="D43" s="14"/>
    </row>
    <row r="44" spans="3:28" ht="15" customHeight="1" x14ac:dyDescent="0.3">
      <c r="C44" s="14"/>
      <c r="D44" s="14"/>
    </row>
    <row r="45" spans="3:28" ht="15" customHeight="1" x14ac:dyDescent="0.3">
      <c r="C45" s="14"/>
      <c r="D45" s="14"/>
      <c r="AA45" s="1">
        <f ca="1">IFERROR(IF('Imp Tables'!B47=_xlfn.XLOOKUP('Imp Tables'!$B$16,'Imp Tables'!$G$18:$G$29,'Imp Tables'!$H$18:$H$29)," ",'Imp Tables'!B47+1)," ")</f>
        <v>31</v>
      </c>
      <c r="AB45" s="2" t="str">
        <f ca="1">IFERROR(TEXT(DATE('Imp Tables'!$B$15,'Imp Tables'!$B$16,AA45),"dddd")," ")</f>
        <v>Sunday</v>
      </c>
    </row>
    <row r="46" spans="3:28" ht="15" customHeight="1" x14ac:dyDescent="0.3">
      <c r="C46" s="14"/>
      <c r="D46" s="14"/>
    </row>
    <row r="47" spans="3:28" ht="15" customHeight="1" x14ac:dyDescent="0.3">
      <c r="C47" s="14"/>
      <c r="D47" s="14"/>
    </row>
    <row r="48" spans="3:28" ht="15" customHeight="1" x14ac:dyDescent="0.3">
      <c r="C48" s="14"/>
      <c r="D48" s="14"/>
    </row>
    <row r="49" spans="3:4" ht="15" customHeight="1" x14ac:dyDescent="0.3">
      <c r="C49" s="14"/>
      <c r="D49" s="14"/>
    </row>
    <row r="50" spans="3:4" ht="15" customHeight="1" x14ac:dyDescent="0.3">
      <c r="C50" s="14"/>
      <c r="D50" s="14"/>
    </row>
    <row r="51" spans="3:4" ht="15" customHeight="1" x14ac:dyDescent="0.3">
      <c r="C51" s="14"/>
      <c r="D51" s="14"/>
    </row>
    <row r="52" spans="3:4" ht="15" customHeight="1" x14ac:dyDescent="0.3">
      <c r="C52" s="14"/>
      <c r="D52" s="14"/>
    </row>
    <row r="53" spans="3:4" x14ac:dyDescent="0.3">
      <c r="C53" s="14"/>
      <c r="D53" s="14"/>
    </row>
    <row r="54" spans="3:4" x14ac:dyDescent="0.3">
      <c r="C54" s="14"/>
      <c r="D54" s="14"/>
    </row>
    <row r="55" spans="3:4" x14ac:dyDescent="0.3">
      <c r="C55" s="14"/>
      <c r="D55" s="14"/>
    </row>
    <row r="56" spans="3:4" x14ac:dyDescent="0.3">
      <c r="C56" s="14"/>
      <c r="D56" s="14"/>
    </row>
    <row r="57" spans="3:4" x14ac:dyDescent="0.3">
      <c r="C57" s="14"/>
      <c r="D57" s="14"/>
    </row>
    <row r="58" spans="3:4" x14ac:dyDescent="0.3">
      <c r="C58" s="14"/>
      <c r="D58" s="14"/>
    </row>
    <row r="59" spans="3:4" x14ac:dyDescent="0.3">
      <c r="C59" s="14"/>
      <c r="D59" s="14"/>
    </row>
    <row r="60" spans="3:4" x14ac:dyDescent="0.3">
      <c r="C60" s="14"/>
      <c r="D60" s="14"/>
    </row>
    <row r="61" spans="3:4" x14ac:dyDescent="0.3">
      <c r="C61" s="14"/>
      <c r="D61" s="14"/>
    </row>
    <row r="62" spans="3:4" x14ac:dyDescent="0.3">
      <c r="C62" s="14"/>
      <c r="D62" s="14"/>
    </row>
    <row r="63" spans="3:4" x14ac:dyDescent="0.3">
      <c r="C63" s="14"/>
      <c r="D63" s="14"/>
    </row>
    <row r="64" spans="3:4" x14ac:dyDescent="0.3">
      <c r="C64" s="14"/>
      <c r="D64" s="14"/>
    </row>
  </sheetData>
  <mergeCells count="45">
    <mergeCell ref="AA12:AA13"/>
    <mergeCell ref="AB12:AB13"/>
    <mergeCell ref="Y12:Z31"/>
    <mergeCell ref="B4:X7"/>
    <mergeCell ref="C22:D22"/>
    <mergeCell ref="C14:D14"/>
    <mergeCell ref="C15:D15"/>
    <mergeCell ref="C16:D16"/>
    <mergeCell ref="C12:D13"/>
    <mergeCell ref="E12:E13"/>
    <mergeCell ref="V12:V13"/>
    <mergeCell ref="P8:Q11"/>
    <mergeCell ref="N8:O11"/>
    <mergeCell ref="G12:G13"/>
    <mergeCell ref="J12:J13"/>
    <mergeCell ref="S12:S13"/>
    <mergeCell ref="C28:D28"/>
    <mergeCell ref="C29:D29"/>
    <mergeCell ref="C30:D30"/>
    <mergeCell ref="C31:D31"/>
    <mergeCell ref="B12:B13"/>
    <mergeCell ref="C23:D23"/>
    <mergeCell ref="C24:D24"/>
    <mergeCell ref="C25:D25"/>
    <mergeCell ref="C26:D26"/>
    <mergeCell ref="C27:D27"/>
    <mergeCell ref="C17:D17"/>
    <mergeCell ref="C18:D18"/>
    <mergeCell ref="C19:D19"/>
    <mergeCell ref="C20:D20"/>
    <mergeCell ref="C21:D21"/>
    <mergeCell ref="E36:F39"/>
    <mergeCell ref="G36:H39"/>
    <mergeCell ref="X32:X33"/>
    <mergeCell ref="E8:H11"/>
    <mergeCell ref="J8:M11"/>
    <mergeCell ref="O12:O13"/>
    <mergeCell ref="F12:F13"/>
    <mergeCell ref="R12:R13"/>
    <mergeCell ref="X12:X13"/>
    <mergeCell ref="I12:I13"/>
    <mergeCell ref="L12:L13"/>
    <mergeCell ref="U32:W33"/>
    <mergeCell ref="W12:W13"/>
    <mergeCell ref="I36:L39"/>
  </mergeCells>
  <dataValidations count="2">
    <dataValidation type="list" allowBlank="1" showInputMessage="1" showErrorMessage="1" sqref="E14:E31" xr:uid="{824DA2E4-AD4A-4617-952A-23E3CD022E4F}">
      <formula1>"Labour,Mason"</formula1>
    </dataValidation>
    <dataValidation type="list" allowBlank="1" showInputMessage="1" showErrorMessage="1" sqref="U14:U31 Q14:Q31 N14:N32 S14:S31 AA14:AA31" xr:uid="{08F8C9F3-7AB4-44C1-B22D-F1140469D799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ClearData">
                <anchor moveWithCells="1" sizeWithCells="1">
                  <from>
                    <xdr:col>15</xdr:col>
                    <xdr:colOff>182880</xdr:colOff>
                    <xdr:row>7</xdr:row>
                    <xdr:rowOff>137160</xdr:rowOff>
                  </from>
                  <to>
                    <xdr:col>16</xdr:col>
                    <xdr:colOff>883920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60960</xdr:colOff>
                    <xdr:row>35</xdr:row>
                    <xdr:rowOff>68580</xdr:rowOff>
                  </from>
                  <to>
                    <xdr:col>7</xdr:col>
                    <xdr:colOff>807720</xdr:colOff>
                    <xdr:row>38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Option Button 4">
              <controlPr defaultSize="0" autoFill="0" autoLine="0" autoPict="0" macro="[0]!Sheet1.Sheet1_save_data">
                <anchor moveWithCells="1" sizeWithCells="1">
                  <from>
                    <xdr:col>4</xdr:col>
                    <xdr:colOff>53340</xdr:colOff>
                    <xdr:row>35</xdr:row>
                    <xdr:rowOff>30480</xdr:rowOff>
                  </from>
                  <to>
                    <xdr:col>5</xdr:col>
                    <xdr:colOff>922020</xdr:colOff>
                    <xdr:row>36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Option Button 5">
              <controlPr defaultSize="0" autoFill="0" autoLine="0" autoPict="0" macro="[0]!Sheet1.Sheet1_save_data">
                <anchor moveWithCells="1" sizeWithCells="1">
                  <from>
                    <xdr:col>4</xdr:col>
                    <xdr:colOff>53340</xdr:colOff>
                    <xdr:row>37</xdr:row>
                    <xdr:rowOff>22860</xdr:rowOff>
                  </from>
                  <to>
                    <xdr:col>5</xdr:col>
                    <xdr:colOff>922020</xdr:colOff>
                    <xdr:row>38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8D47D5A-C8A3-45BE-AF9C-ED10201D8745}">
          <x14:formula1>
            <xm:f>'Imp Tables'!$A$18:$A$48</xm:f>
          </x14:formula1>
          <xm:sqref>U9</xm:sqref>
        </x14:dataValidation>
        <x14:dataValidation type="list" allowBlank="1" showInputMessage="1" showErrorMessage="1" xr:uid="{6EA0B778-5917-4C1D-87B0-B6ADE92CA743}">
          <x14:formula1>
            <xm:f>'Imp Tables'!$J$25:$J$31</xm:f>
          </x14:formula1>
          <xm:sqref>H14:H31 K14:K31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52915-CF89-417C-99D6-2DA12602C622}">
  <sheetPr codeName="Sheet2">
    <tabColor rgb="FFFFFF00"/>
  </sheetPr>
  <dimension ref="A3:V48"/>
  <sheetViews>
    <sheetView topLeftCell="A10" zoomScale="90" workbookViewId="0">
      <selection activeCell="B17" sqref="B17"/>
    </sheetView>
  </sheetViews>
  <sheetFormatPr defaultRowHeight="13.8" x14ac:dyDescent="0.3"/>
  <cols>
    <col min="1" max="2" width="8.88671875" style="1"/>
    <col min="3" max="3" width="13" style="1" customWidth="1"/>
    <col min="4" max="4" width="11.77734375" style="1" customWidth="1"/>
    <col min="5" max="9" width="8.88671875" style="1"/>
    <col min="10" max="11" width="14.44140625" style="1" customWidth="1"/>
    <col min="12" max="16384" width="8.88671875" style="1"/>
  </cols>
  <sheetData>
    <row r="3" spans="2:22" ht="14.4" thickBot="1" x14ac:dyDescent="0.35"/>
    <row r="4" spans="2:22" x14ac:dyDescent="0.3">
      <c r="E4" s="200" t="s">
        <v>40</v>
      </c>
      <c r="F4" s="201"/>
      <c r="G4" s="201"/>
      <c r="H4" s="201"/>
      <c r="I4" s="201"/>
      <c r="J4" s="201"/>
      <c r="K4" s="201"/>
      <c r="L4" s="201"/>
      <c r="M4" s="201"/>
      <c r="N4" s="201"/>
      <c r="O4" s="201"/>
      <c r="P4" s="201"/>
      <c r="Q4" s="201"/>
      <c r="R4" s="201"/>
      <c r="S4" s="201"/>
      <c r="T4" s="201"/>
      <c r="U4" s="201"/>
      <c r="V4" s="202"/>
    </row>
    <row r="5" spans="2:22" x14ac:dyDescent="0.3">
      <c r="E5" s="203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5"/>
    </row>
    <row r="6" spans="2:22" x14ac:dyDescent="0.3">
      <c r="E6" s="203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4"/>
      <c r="T6" s="204"/>
      <c r="U6" s="204"/>
      <c r="V6" s="205"/>
    </row>
    <row r="7" spans="2:22" x14ac:dyDescent="0.3">
      <c r="E7" s="203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  <c r="T7" s="204"/>
      <c r="U7" s="204"/>
      <c r="V7" s="205"/>
    </row>
    <row r="8" spans="2:22" x14ac:dyDescent="0.3">
      <c r="E8" s="203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4"/>
      <c r="V8" s="205"/>
    </row>
    <row r="9" spans="2:22" ht="14.4" thickBot="1" x14ac:dyDescent="0.35">
      <c r="E9" s="206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07"/>
      <c r="R9" s="207"/>
      <c r="S9" s="207"/>
      <c r="T9" s="207"/>
      <c r="U9" s="207"/>
      <c r="V9" s="208"/>
    </row>
    <row r="14" spans="2:22" ht="14.4" thickBot="1" x14ac:dyDescent="0.35">
      <c r="D14" s="1">
        <f ca="1">VALUE(MONTH(TODAY()))</f>
        <v>5</v>
      </c>
      <c r="E14" s="24"/>
      <c r="F14" s="24"/>
    </row>
    <row r="15" spans="2:22" ht="15" customHeight="1" thickBot="1" x14ac:dyDescent="0.35">
      <c r="B15" s="173">
        <f ca="1">VALUE(YEAR(TODAY()))</f>
        <v>2026</v>
      </c>
      <c r="C15" s="164"/>
      <c r="D15" s="214"/>
      <c r="G15" s="103" t="str">
        <f ca="1">"Number of days of month ("&amp;B16&amp;") of Year ("&amp;B15&amp;")"</f>
        <v>Number of days of month (5) of Year (2026)</v>
      </c>
      <c r="H15" s="104"/>
      <c r="K15" s="215" t="s">
        <v>32</v>
      </c>
      <c r="L15" s="209"/>
      <c r="M15" s="10" t="str">
        <f>IF('Wages Calculator'!H14='Wages Calculator'!K14,IF(AND('Wages Calculator'!G14*24&gt;=8,'Wages Calculator'!G14*24&lt;17,'Wages Calculator'!J14*24&gt;8,'Wages Calculator'!J14*24&lt;=17),ROUND(('Wages Calculator'!J14-'Wages Calculator'!G14)*24,2)&amp;"   hrs",IF(AND('Wages Calculator'!G14*24&gt;=0,'Wages Calculator'!G14*24&lt;8,'Wages Calculator'!J14*24&lt;=17),ROUND('Wages Calculator'!J14*24-8,2),IF(AND('Wages Calculator'!G14*24&gt;=0,'Wages Calculator'!G14*24&lt;8,'Wages Calculator'!J14*24&gt;17),9,IF(AND('Wages Calculator'!G14*24&gt;=8,'Wages Calculator'!J14*24&gt;17),ROUND(17-'Wages Calculator'!G14*24,2),0)))&amp;"   hrs"),IF('Wages Calculator'!K14&gt;'Wages Calculator'!H14,IF(AND('Wages Calculator'!G14*24&gt;=8,'Wages Calculator'!G14*24&lt;17,'Wages Calculator'!J14*24&gt;=0,'Wages Calculator'!J14*24&lt;='Wages Calculator'!G14*24),ROUND(17-'Wages Calculator'!G14*24,2)+IF(AND('Wages Calculator'!G14*24&gt;8,'Wages Calculator'!J14*24+24-'Wages Calculator'!G14*24=24),ROUND('Wages Calculator'!G14*24-8,2),IF(AND('Wages Calculator'!J14*24&gt;8,'Wages Calculator'!G14*24-'Wages Calculator'!J14*24&gt;0),ROUND('Wages Calculator'!J14*24-8,2),0)),IF(AND('Wages Calculator'!G14*24&gt;='Wages Calculator'!J14*24,'Wages Calculator'!G14*24&lt;=8),9,IF(AND('Wages Calculator'!G14*24&gt;'Wages Calculator'!J14*24,('Wages Calculator'!G14-'Wages Calculator'!J14)*24&gt;0,'Wages Calculator'!G14*24&gt;=17,'Wages Calculator'!J14*24&lt;=17),IF(ROUND('Wages Calculator'!J14*24-8,2)&lt;0,0,ROUND('Wages Calculator'!J14*24-8,2)),IF(AND(('Wages Calculator'!G14-'Wages Calculator'!J14)*24&gt;=0,'Wages Calculator'!G14*24&gt;=17,'Wages Calculator'!J14*24&gt;=17),9,0))))&amp;"   hrs",0))</f>
        <v>-8   hrs</v>
      </c>
      <c r="N15" s="209" t="s">
        <v>32</v>
      </c>
      <c r="O15" s="209"/>
      <c r="P15" s="10" t="str">
        <f>IF('Wages Calculator'!F14&lt;&gt;" ",IF('Wages Calculator'!H14='Wages Calculator'!K14,IF(AND('Wages Calculator'!G14*24&gt;=0,'Wages Calculator'!G14*24&lt;=17,'Wages Calculator'!J14*24&gt;=17),ROUND(('Wages Calculator'!J14*24-17),2),IF(AND('Wages Calculator'!G14*24&gt;=17,'Wages Calculator'!J14*24&gt;=17),ROUND(('Wages Calculator'!J14-'Wages Calculator'!G14)*24,2),0))&amp;"   hrs",IF('Wages Calculator'!K14&gt;'Wages Calculator'!H14,IF(AND('Wages Calculator'!G14*24&gt;=0,'Wages Calculator'!J14*24&gt;=0,'Wages Calculator'!G14*24&lt;=17),7,IF(AND('Wages Calculator'!G14*24&gt;=17,'Wages Calculator'!J14*24-24&lt;0),ROUND(24-'Wages Calculator'!G14*24,2),0))&amp;"   hrs",0))," ")</f>
        <v xml:space="preserve"> </v>
      </c>
      <c r="Q15" s="209" t="s">
        <v>32</v>
      </c>
      <c r="R15" s="209"/>
      <c r="S15" s="11" t="str">
        <f>IF('Wages Calculator'!H14='Wages Calculator'!K14,IF(AND('Wages Calculator'!G14*24&gt;=0,'Wages Calculator'!G14*24&lt;=8,'Wages Calculator'!J14*24&lt;=8),ROUND(('Wages Calculator'!J14-'Wages Calculator'!G14)*24,2)&amp;"   hrs",ROUND(IF(AND('Wages Calculator'!G14*24&gt;=0,'Wages Calculator'!G14*24&lt;=8,'Wages Calculator'!J14*24&gt;8),8-'Wages Calculator'!G14*24,0),2)&amp;"   hrs"),IF('Wages Calculator'!K14&gt;'Wages Calculator'!H14,IF(AND('Wages Calculator'!G14*24&gt;=8,'Wages Calculator'!J14*24&gt;8),8&amp;"   hrs",IF(AND('Wages Calculator'!G14*24&gt;=0,'Wages Calculator'!G14*24&gt;8,'Wages Calculator'!J14*24&lt;=8),ROUND('Wages Calculator'!J14*24,2)&amp;"   hrs",IF(AND('Wages Calculator'!G14*24&gt;=0,'Wages Calculator'!G14*24&lt;=8,'Wages Calculator'!J14*24&lt;=8,'Wages Calculator'!G14*24&gt;'Wages Calculator'!J14*24),ROUND((8-'Wages Calculator'!G14*24)+'Wages Calculator'!J14*24,2),IF(AND('Wages Calculator'!G14*24&gt;=0,'Wages Calculator'!G14*24&lt;8,'Wages Calculator'!J14*24&gt;8),ROUND(8-('Wages Calculator'!G14)*24,2),IF(AND('Wages Calculator'!J14*24='Wages Calculator'!G14*24,'Wages Calculator'!G14*24&lt;8,'Wages Calculator'!J14*24&lt;8),ROUND((8-'Wages Calculator'!G14*24)+'Wages Calculator'!J14*24,2),0)))&amp;"   hrs")),0&amp;"   hrs"))</f>
        <v>0   hrs</v>
      </c>
    </row>
    <row r="16" spans="2:22" ht="15" customHeight="1" thickBot="1" x14ac:dyDescent="0.35">
      <c r="B16" s="211">
        <f ca="1">VALUE(MONTH(TODAY()))</f>
        <v>5</v>
      </c>
      <c r="C16" s="212"/>
      <c r="D16" s="213"/>
      <c r="E16" s="26" t="s">
        <v>45</v>
      </c>
      <c r="F16" s="168" t="s">
        <v>46</v>
      </c>
      <c r="G16" s="105"/>
      <c r="H16" s="106"/>
      <c r="K16" s="216" t="s">
        <v>33</v>
      </c>
      <c r="L16" s="210"/>
      <c r="M16" s="12" t="str">
        <f>IF('Wages Calculator'!B15&lt;&gt;" ",IF('Wages Calculator'!K15='Wages Calculator'!H15,IF(AND(VALUE('Wages Calculator'!G15)*24&gt;=8,VALUE('Wages Calculator'!G15)*24&lt;=16,VALUE('Wages Calculator'!J15)*24&lt;=16),IF(ROUND(('Wages Calculator'!J15-'Wages Calculator'!G15)*24,1)&lt;0,0,ROUND(('Wages Calculator'!J15-'Wages Calculator'!G15)*24,1)),IF('Wages Calculator'!G15*24&lt;8,IF(ROUND('Wages Calculator'!J15*24-8,1)&lt;0,0,IF(ROUND('Wages Calculator'!J15*24-8,1)&gt;9,9,ROUND('Wages Calculator'!J15*24-8,1))),IF(ROUND(16-('Wages Calculator'!G15)*24+1,1)&lt;0,0,ROUND(16-('Wages Calculator'!G15)*24+1,1)))),IF(AND(8&gt;VALUE('Wages Calculator'!G15)*24,VALUE('Wages Calculator'!J15)*24&gt;16,('Wages Calculator'!J15-'Wages Calculator'!G15)*24&gt;9),9,ROUND(IF(AND('Wages Calculator'!K15&gt;'Wages Calculator'!H15,'Wages Calculator'!G15*24&gt;'Wages Calculator'!J15*24),ABS(16-VALUE('Wages Calculator'!G15)*24+1),IF(VALUE('Wages Calculator'!J15)*24 - 8&lt;0,0,IF('Wages Calculator'!J15*24&gt;=16,9,VALUE('Wages Calculator'!J15)*24 - 8))),1)))&amp;"   hrs"," ")</f>
        <v>9   hrs</v>
      </c>
      <c r="N16" s="210" t="s">
        <v>33</v>
      </c>
      <c r="O16" s="210"/>
      <c r="P16" s="12" t="str">
        <f>IF('Wages Calculator'!B14&lt;&gt;" ",IF(OR('Wages Calculator'!K14='Wages Calculator'!H14,VALUE('Wages Calculator'!G14)*24&lt;&gt;17,VALUE('Wages Calculator'!J14)*24&lt;=0),IF(VALUE('Wages Calculator'!J14)*24&gt;16,ROUND((VALUE('Wages Calculator'!J14)*24-16)-1,2),IF(AND(VALUE('Wages Calculator'!G14)*24&gt;=0,VALUE('Wages Calculator'!G14)*24&lt;=16),0,ROUND(24-VALUE('Wages Calculator'!G14)*24,2))),IF(AND(VALUE('Wages Calculator'!J14)*24-16-1&gt;=0,VALUE('Wages Calculator'!J14)*24-16-1&lt;=7),ABS(VALUE('Wages Calculator'!J14)*24-16-1),7))&amp;"   hrs"," ")</f>
        <v xml:space="preserve"> </v>
      </c>
      <c r="Q16" s="210" t="s">
        <v>33</v>
      </c>
      <c r="R16" s="210"/>
      <c r="S16" s="13" t="str">
        <f>IF('Wages Calculator'!B14&lt;&gt;" ",IF('Wages Calculator'!K14='Wages Calculator'!H14,IF(AND(VALUE('Wages Calculator'!G14)*24&gt;=0,VALUE('Wages Calculator'!G14)*24&lt;=6),IF(VALUE('Wages Calculator'!J14)*24&gt;6,"(   "&amp;(6-VALUE('Wages Calculator'!G14)*24)&amp;"+"&amp;IF(('Wages Calculator'!J14)*24&gt;8,2,VALUE('Wages Calculator'!J14)*24-6)&amp;"   )   hrs",(VALUE('Wages Calculator'!J14)-VALUE('Wages Calculator'!G14))*24&amp;"   hrs"),0&amp;"   hrs"),IF(AND(VALUE('Wages Calculator'!J14)*24&gt;0,VALUE('Wages Calculator'!J14)*24&lt;=6),('Wages Calculator'!J14-'Wages Calculator'!G14)*24&amp;"   hrs",IF(AND(VALUE('Wages Calculator'!J14)*24&gt;6,VALUE('Wages Calculator'!J14)*24&lt;=8),"(   "&amp;(6-VALUE('Wages Calculator'!G14)*24)&amp;"+"&amp;IF(ROUND(8-VALUE('Wages Calculator'!J14)*24,1)=0,2,ROUND(8-VALUE('Wages Calculator'!J14)*24,1))&amp;"   )   hrs",IF(AND(VALUE('Wages Calculator'!G14)*24&gt;=0,VALUE('Wages Calculator'!J14)*24&gt;=8),IF(AND('Wages Calculator'!J14*24&lt;=8,'Wages Calculator'!G14*24&gt;=0),IF(VALUE('Wages Calculator'!J14)*24&gt;6,"(   "&amp;(6-VALUE('Wages Calculator'!G14)*24)&amp;"+"&amp;IF(('Wages Calculator'!J14)*24&gt;8,2,VALUE('Wages Calculator'!J14)*24-6)&amp;"   )",ROUND(8-VALUE('Wages Calculator'!G14)*24,2))&amp;"   hrs",IF(6-'Wages Calculator'!G14*24&lt;0,0,"(   "&amp;(6-VALUE('Wages Calculator'!G14)*24)&amp;"+"&amp;IF(('Wages Calculator'!J14)*24&gt;8,2,VALUE('Wages Calculator'!J14)*24-6)&amp;"   )")&amp;"   hrs"),IF(AND('Wages Calculator'!K14&gt;'Wages Calculator'!H14,'Wages Calculator'!G14*24&gt;'Wages Calculator'!J14*24),IF(VALUE('Wages Calculator'!J14)*24&gt;6,"(   "&amp;(6-VALUE('Wages Calculator'!G14)*24)&amp;"+"&amp;IF(('Wages Calculator'!J14)*24&gt;8,2,VALUE('Wages Calculator'!J14)*24-6)&amp;"   )   hrs",(VALUE('Wages Calculator'!J14)-VALUE('Wages Calculator'!G14))*24&amp;"   hrs"),('Wages Calculator'!J14-'Wages Calculator'!G14)*24&amp;"   hrs")))))," ")</f>
        <v xml:space="preserve"> </v>
      </c>
    </row>
    <row r="17" spans="1:17" ht="15" customHeight="1" thickBot="1" x14ac:dyDescent="0.35">
      <c r="A17" s="1" t="str">
        <f>" "</f>
        <v xml:space="preserve"> </v>
      </c>
      <c r="B17" s="5" t="s">
        <v>41</v>
      </c>
      <c r="C17" s="3" t="s">
        <v>42</v>
      </c>
      <c r="D17" s="19" t="s">
        <v>43</v>
      </c>
      <c r="E17" s="1">
        <v>1</v>
      </c>
      <c r="F17" s="151"/>
      <c r="G17" s="107"/>
      <c r="H17" s="108"/>
      <c r="M17" s="195" t="s">
        <v>65</v>
      </c>
      <c r="N17" s="196"/>
      <c r="O17" s="196"/>
      <c r="P17" s="196"/>
      <c r="Q17" s="197"/>
    </row>
    <row r="18" spans="1:17" ht="15" customHeight="1" thickBot="1" x14ac:dyDescent="0.35">
      <c r="A18" s="23" t="str">
        <f ca="1">IF(B18&lt;&gt;" ","Week "&amp;E18," ")</f>
        <v>Week 1</v>
      </c>
      <c r="B18" s="5">
        <v>1</v>
      </c>
      <c r="C18" s="3" t="str">
        <f t="shared" ref="C18:C48" ca="1" si="0">IFERROR(TEXT(DATE($B$15,$B$16,B18),"dddd")," ")</f>
        <v>Friday</v>
      </c>
      <c r="D18" s="25">
        <f ca="1">IFERROR(DATE($B$15,$B$16,B18)," ")</f>
        <v>46143</v>
      </c>
      <c r="E18" s="1">
        <f ca="1">IF(B18=" "," ",IF(AND(C18="Monday",A17&lt;&gt;" "),E17+1,E17))</f>
        <v>1</v>
      </c>
      <c r="F18" s="1">
        <f ca="1">IF(B18&lt;&gt;" ",COUNTIF($E$18:E18,E18)," ")</f>
        <v>1</v>
      </c>
      <c r="G18" s="15">
        <v>1</v>
      </c>
      <c r="H18" s="16">
        <v>31</v>
      </c>
      <c r="M18" s="43">
        <v>1</v>
      </c>
      <c r="N18" s="43">
        <v>2</v>
      </c>
      <c r="O18" s="26">
        <v>3</v>
      </c>
      <c r="P18" s="86">
        <v>4</v>
      </c>
      <c r="Q18" s="86">
        <v>5</v>
      </c>
    </row>
    <row r="19" spans="1:17" ht="15" customHeight="1" x14ac:dyDescent="0.3">
      <c r="A19" s="23" t="str">
        <f t="shared" ref="A19:A48" ca="1" si="1">IF(B19&lt;&gt;" ","Week "&amp;E19," ")</f>
        <v>Week 1</v>
      </c>
      <c r="B19" s="5">
        <f t="shared" ref="B19:B48" ca="1" si="2">IFERROR(IF(B18=_xlfn.XLOOKUP($B$16,$G$18:$G$29,$H$18:$H$29)," ",B18+1)," ")</f>
        <v>2</v>
      </c>
      <c r="C19" s="18" t="str">
        <f t="shared" ca="1" si="0"/>
        <v>Saturday</v>
      </c>
      <c r="D19" s="21">
        <f t="shared" ref="D19:D48" ca="1" si="3">IFERROR(DATE($B$15,$B$16,B19)," ")</f>
        <v>46144</v>
      </c>
      <c r="E19" s="1">
        <f t="shared" ref="E19:E48" ca="1" si="4">IF(B19=" "," ",IF(C19="Monday",E18+1,E18))</f>
        <v>1</v>
      </c>
      <c r="F19" s="1">
        <f ca="1">IF(B19&lt;&gt;" ",COUNTIF($E$18:E19,E19)," ")</f>
        <v>2</v>
      </c>
      <c r="G19" s="5">
        <v>2</v>
      </c>
      <c r="H19" s="19">
        <f ca="1">IF(MOD(B15,4)=0,29,28)</f>
        <v>28</v>
      </c>
      <c r="M19" s="87">
        <f ca="1">COUNTIF($E$18:$E$48,M18)</f>
        <v>3</v>
      </c>
      <c r="N19" s="87">
        <f t="shared" ref="N19:Q19" ca="1" si="5">COUNTIF($E$18:$E$48,N18)</f>
        <v>7</v>
      </c>
      <c r="O19" s="70">
        <f t="shared" ca="1" si="5"/>
        <v>7</v>
      </c>
      <c r="P19" s="88">
        <f t="shared" ca="1" si="5"/>
        <v>7</v>
      </c>
      <c r="Q19" s="88">
        <f t="shared" ca="1" si="5"/>
        <v>7</v>
      </c>
    </row>
    <row r="20" spans="1:17" ht="15" customHeight="1" x14ac:dyDescent="0.3">
      <c r="A20" s="23" t="str">
        <f t="shared" ca="1" si="1"/>
        <v>Week 1</v>
      </c>
      <c r="B20" s="5">
        <f t="shared" ca="1" si="2"/>
        <v>3</v>
      </c>
      <c r="C20" s="18" t="str">
        <f t="shared" ca="1" si="0"/>
        <v>Sunday</v>
      </c>
      <c r="D20" s="21">
        <f t="shared" ca="1" si="3"/>
        <v>46145</v>
      </c>
      <c r="E20" s="1">
        <f t="shared" ca="1" si="4"/>
        <v>1</v>
      </c>
      <c r="F20" s="1">
        <f ca="1">IF(B20&lt;&gt;" ",COUNTIF($E$18:E20,E20)," ")</f>
        <v>3</v>
      </c>
      <c r="G20" s="5">
        <v>3</v>
      </c>
      <c r="H20" s="19">
        <v>31</v>
      </c>
      <c r="M20" s="77">
        <v>1</v>
      </c>
      <c r="N20" s="77">
        <v>1</v>
      </c>
      <c r="O20" s="67">
        <v>1</v>
      </c>
      <c r="P20" s="51">
        <v>1</v>
      </c>
      <c r="Q20" s="51">
        <v>1</v>
      </c>
    </row>
    <row r="21" spans="1:17" ht="15" customHeight="1" x14ac:dyDescent="0.3">
      <c r="A21" s="23" t="str">
        <f t="shared" ca="1" si="1"/>
        <v>Week 2</v>
      </c>
      <c r="B21" s="5">
        <f t="shared" ca="1" si="2"/>
        <v>4</v>
      </c>
      <c r="C21" s="18" t="str">
        <f t="shared" ca="1" si="0"/>
        <v>Monday</v>
      </c>
      <c r="D21" s="21">
        <f t="shared" ca="1" si="3"/>
        <v>46146</v>
      </c>
      <c r="E21" s="1">
        <f t="shared" ca="1" si="4"/>
        <v>2</v>
      </c>
      <c r="F21" s="1">
        <f ca="1">IF(B21&lt;&gt;" ",COUNTIF($E$18:E21,E21)," ")</f>
        <v>1</v>
      </c>
      <c r="G21" s="5">
        <v>4</v>
      </c>
      <c r="H21" s="19">
        <v>30</v>
      </c>
      <c r="K21" s="1">
        <f ca="1">MAX(E18:E48)</f>
        <v>5</v>
      </c>
      <c r="M21" s="77">
        <f ca="1">IFERROR(IF(M20+1&gt;M$19," ",M20+1)," ")</f>
        <v>2</v>
      </c>
      <c r="N21" s="77">
        <f t="shared" ref="N21:P26" ca="1" si="6">IFERROR(IF(N20+1&gt;N$19," ",N20+1)," ")</f>
        <v>2</v>
      </c>
      <c r="O21" s="67">
        <f t="shared" ca="1" si="6"/>
        <v>2</v>
      </c>
      <c r="P21" s="51">
        <f t="shared" ca="1" si="6"/>
        <v>2</v>
      </c>
      <c r="Q21" s="51">
        <f ca="1">IF($M$30="Yes",IFERROR(IF(Q20+1&gt;7," ",Q20+1)," "),IFERROR(IF(Q20+1&gt;Q$19," ",Q20+1)," "))</f>
        <v>2</v>
      </c>
    </row>
    <row r="22" spans="1:17" ht="15" customHeight="1" x14ac:dyDescent="0.3">
      <c r="A22" s="23" t="str">
        <f t="shared" ca="1" si="1"/>
        <v>Week 2</v>
      </c>
      <c r="B22" s="5">
        <f t="shared" ca="1" si="2"/>
        <v>5</v>
      </c>
      <c r="C22" s="18" t="str">
        <f t="shared" ca="1" si="0"/>
        <v>Tuesday</v>
      </c>
      <c r="D22" s="21">
        <f t="shared" ca="1" si="3"/>
        <v>46147</v>
      </c>
      <c r="E22" s="1">
        <f t="shared" ca="1" si="4"/>
        <v>2</v>
      </c>
      <c r="F22" s="1">
        <f ca="1">IF(B22&lt;&gt;" ",COUNTIF($E$18:E22,E22)," ")</f>
        <v>2</v>
      </c>
      <c r="G22" s="5">
        <v>5</v>
      </c>
      <c r="H22" s="19">
        <v>31</v>
      </c>
      <c r="M22" s="77">
        <f ca="1">IFERROR(IF(M21+1&gt;$M$19," ",M21+1)," ")</f>
        <v>3</v>
      </c>
      <c r="N22" s="77">
        <f t="shared" ref="N22:N26" ca="1" si="7">IFERROR(IF(N21+1&gt;$N$19," ",N21+1)," ")</f>
        <v>3</v>
      </c>
      <c r="O22" s="67">
        <f t="shared" ca="1" si="6"/>
        <v>3</v>
      </c>
      <c r="P22" s="51">
        <f t="shared" ca="1" si="6"/>
        <v>3</v>
      </c>
      <c r="Q22" s="51">
        <f t="shared" ref="Q22:Q26" ca="1" si="8">IF($M$30="Yes",IFERROR(IF(Q21+1&gt;7," ",Q21+1)," "),IFERROR(IF(Q21+1&gt;Q$19," ",Q21+1)," "))</f>
        <v>3</v>
      </c>
    </row>
    <row r="23" spans="1:17" ht="15" customHeight="1" thickBot="1" x14ac:dyDescent="0.35">
      <c r="A23" s="23" t="str">
        <f t="shared" ca="1" si="1"/>
        <v>Week 2</v>
      </c>
      <c r="B23" s="5">
        <f t="shared" ca="1" si="2"/>
        <v>6</v>
      </c>
      <c r="C23" s="18" t="str">
        <f t="shared" ca="1" si="0"/>
        <v>Wednesday</v>
      </c>
      <c r="D23" s="21">
        <f t="shared" ca="1" si="3"/>
        <v>46148</v>
      </c>
      <c r="E23" s="1">
        <f t="shared" ca="1" si="4"/>
        <v>2</v>
      </c>
      <c r="F23" s="1">
        <f ca="1">IF(B23&lt;&gt;" ",COUNTIF($E$18:E23,E23)," ")</f>
        <v>3</v>
      </c>
      <c r="G23" s="5">
        <v>6</v>
      </c>
      <c r="H23" s="19">
        <v>30</v>
      </c>
      <c r="M23" s="77" t="str">
        <f ca="1">IFERROR(IF(M22+1&gt;$M$19," ",M22+1)," ")</f>
        <v xml:space="preserve"> </v>
      </c>
      <c r="N23" s="77">
        <f t="shared" ca="1" si="7"/>
        <v>4</v>
      </c>
      <c r="O23" s="67">
        <f t="shared" ca="1" si="6"/>
        <v>4</v>
      </c>
      <c r="P23" s="51">
        <f t="shared" ca="1" si="6"/>
        <v>4</v>
      </c>
      <c r="Q23" s="51">
        <f t="shared" ca="1" si="8"/>
        <v>4</v>
      </c>
    </row>
    <row r="24" spans="1:17" ht="15" customHeight="1" thickBot="1" x14ac:dyDescent="0.35">
      <c r="A24" s="23" t="str">
        <f t="shared" ca="1" si="1"/>
        <v>Week 2</v>
      </c>
      <c r="B24" s="5">
        <f t="shared" ca="1" si="2"/>
        <v>7</v>
      </c>
      <c r="C24" s="18" t="str">
        <f t="shared" ca="1" si="0"/>
        <v>Thursday</v>
      </c>
      <c r="D24" s="21">
        <f t="shared" ca="1" si="3"/>
        <v>46149</v>
      </c>
      <c r="E24" s="1">
        <f t="shared" ca="1" si="4"/>
        <v>2</v>
      </c>
      <c r="F24" s="1">
        <f ca="1">IF(B24&lt;&gt;" ",COUNTIF($E$18:E24,E24)," ")</f>
        <v>4</v>
      </c>
      <c r="G24" s="5">
        <v>7</v>
      </c>
      <c r="H24" s="19">
        <v>31</v>
      </c>
      <c r="I24" s="43" t="s">
        <v>47</v>
      </c>
      <c r="J24" s="198" t="str">
        <f>'Wages Calculator'!U9</f>
        <v>Week 2</v>
      </c>
      <c r="K24" s="199"/>
      <c r="M24" s="77" t="str">
        <f ca="1">IFERROR(IF(M23+1&gt;$M$19," ",M23+1)," ")</f>
        <v xml:space="preserve"> </v>
      </c>
      <c r="N24" s="77">
        <f t="shared" ca="1" si="7"/>
        <v>5</v>
      </c>
      <c r="O24" s="67">
        <f t="shared" ca="1" si="6"/>
        <v>5</v>
      </c>
      <c r="P24" s="51">
        <f t="shared" ca="1" si="6"/>
        <v>5</v>
      </c>
      <c r="Q24" s="51">
        <f t="shared" ca="1" si="8"/>
        <v>5</v>
      </c>
    </row>
    <row r="25" spans="1:17" ht="15" customHeight="1" x14ac:dyDescent="0.3">
      <c r="A25" s="23" t="str">
        <f t="shared" ca="1" si="1"/>
        <v>Week 2</v>
      </c>
      <c r="B25" s="5">
        <f t="shared" ca="1" si="2"/>
        <v>8</v>
      </c>
      <c r="C25" s="18" t="str">
        <f t="shared" ca="1" si="0"/>
        <v>Friday</v>
      </c>
      <c r="D25" s="21">
        <f t="shared" ca="1" si="3"/>
        <v>46150</v>
      </c>
      <c r="E25" s="1">
        <f t="shared" ca="1" si="4"/>
        <v>2</v>
      </c>
      <c r="F25" s="1">
        <f ca="1">IF(B25&lt;&gt;" ",COUNTIF($E$18:E25,E25)," ")</f>
        <v>5</v>
      </c>
      <c r="G25" s="5">
        <v>8</v>
      </c>
      <c r="H25" s="19">
        <v>31</v>
      </c>
      <c r="I25" s="1" cm="1">
        <f t="array" aca="1" ref="I25:I31" ca="1">IF(VALUE(RIGHT(J24,1))=1,M20:M26,IF(VALUE(RIGHT(J24,1))=2,N20:N26,IF(VALUE(RIGHT(J24,1))=3,O20:O26,IF(VALUE(RIGHT(J24,1))=4,P20:P26,IF(VALUE(RIGHT(J24,1))=5,Q20:Q26)))))</f>
        <v>1</v>
      </c>
      <c r="J25" s="46" cm="1">
        <f t="array" aca="1" ref="J25" ca="1">IFERROR(_xlfn.XLOOKUP(1,($A$18:$A$48=$J$24)*($F$18:$F$48=I25),$D$18:$D$48),IF(AND(VALUE(RIGHT($J$24,1))=$K$21,$M$30="Yes"),_xlfn.XLOOKUP(I25,$M$36:$M$42,$K$36:$K$42)," "))</f>
        <v>46146</v>
      </c>
      <c r="K25" s="47" t="str" cm="1">
        <f t="array" aca="1" ref="K25" ca="1">IFERROR(_xlfn.XLOOKUP(1,($A$18:$A$48=$J$24)*($F$18:$F$48=I25),$C$18:$C$48),IF(AND(VALUE(RIGHT($J$24,1))=$K$21,$M$30="Yes"),_xlfn.XLOOKUP(I25,$M$36:$M$42,$J$36:$J$42)," "))</f>
        <v>Monday</v>
      </c>
      <c r="M25" s="77" t="str">
        <f ca="1">IFERROR(IF(M24+1&gt;$M$19," ",M24+1)," ")</f>
        <v xml:space="preserve"> </v>
      </c>
      <c r="N25" s="77">
        <f t="shared" ca="1" si="7"/>
        <v>6</v>
      </c>
      <c r="O25" s="67">
        <f t="shared" ca="1" si="6"/>
        <v>6</v>
      </c>
      <c r="P25" s="51">
        <f t="shared" ca="1" si="6"/>
        <v>6</v>
      </c>
      <c r="Q25" s="51">
        <f t="shared" ca="1" si="8"/>
        <v>6</v>
      </c>
    </row>
    <row r="26" spans="1:17" ht="15" customHeight="1" thickBot="1" x14ac:dyDescent="0.35">
      <c r="A26" s="23" t="str">
        <f t="shared" ca="1" si="1"/>
        <v>Week 2</v>
      </c>
      <c r="B26" s="5">
        <f t="shared" ca="1" si="2"/>
        <v>9</v>
      </c>
      <c r="C26" s="18" t="str">
        <f t="shared" ca="1" si="0"/>
        <v>Saturday</v>
      </c>
      <c r="D26" s="21">
        <f t="shared" ca="1" si="3"/>
        <v>46151</v>
      </c>
      <c r="E26" s="1">
        <f t="shared" ca="1" si="4"/>
        <v>2</v>
      </c>
      <c r="F26" s="1">
        <f ca="1">IF(B26&lt;&gt;" ",COUNTIF($E$18:E26,E26)," ")</f>
        <v>6</v>
      </c>
      <c r="G26" s="5">
        <v>9</v>
      </c>
      <c r="H26" s="19">
        <v>30</v>
      </c>
      <c r="I26" s="1">
        <f ca="1"/>
        <v>2</v>
      </c>
      <c r="J26" s="44" cm="1">
        <f t="array" aca="1" ref="J26" ca="1">IFERROR(_xlfn.XLOOKUP(1,($A$18:$A$48=$J$24)*($F$18:$F$48=I26),$D$18:$D$48),IF(AND(VALUE(RIGHT($J$24,1))=$K$21,$M$30="Yes"),_xlfn.XLOOKUP(I26,$M$36:$M$42,$K$36:$K$42)," "))</f>
        <v>46147</v>
      </c>
      <c r="K26" s="19" t="str" cm="1">
        <f t="array" aca="1" ref="K26" ca="1">IFERROR(_xlfn.XLOOKUP(1,($A$18:$A$48=$J$24)*($F$18:$F$48=I26),$C$18:$C$48),IF(AND(VALUE(RIGHT($J$24,1))=$K$21,$M$30="Yes"),_xlfn.XLOOKUP(I26,$M$36:$M$42,$J$36:$J$42)," "))</f>
        <v>Tuesday</v>
      </c>
      <c r="M26" s="78" t="str">
        <f t="shared" ref="M26" ca="1" si="9">IFERROR(IF(M25+1&gt;$M$19," ",M25+1)," ")</f>
        <v xml:space="preserve"> </v>
      </c>
      <c r="N26" s="78">
        <f t="shared" ca="1" si="7"/>
        <v>7</v>
      </c>
      <c r="O26" s="52">
        <f t="shared" ca="1" si="6"/>
        <v>7</v>
      </c>
      <c r="P26" s="50">
        <f t="shared" ca="1" si="6"/>
        <v>7</v>
      </c>
      <c r="Q26" s="50">
        <f t="shared" ca="1" si="8"/>
        <v>7</v>
      </c>
    </row>
    <row r="27" spans="1:17" ht="15" customHeight="1" x14ac:dyDescent="0.3">
      <c r="A27" s="23" t="str">
        <f t="shared" ca="1" si="1"/>
        <v>Week 2</v>
      </c>
      <c r="B27" s="5">
        <f t="shared" ca="1" si="2"/>
        <v>10</v>
      </c>
      <c r="C27" s="18" t="str">
        <f t="shared" ca="1" si="0"/>
        <v>Sunday</v>
      </c>
      <c r="D27" s="21">
        <f t="shared" ca="1" si="3"/>
        <v>46152</v>
      </c>
      <c r="E27" s="1">
        <f t="shared" ca="1" si="4"/>
        <v>2</v>
      </c>
      <c r="F27" s="1">
        <f ca="1">IF(B27&lt;&gt;" ",COUNTIF($E$18:E27,E27)," ")</f>
        <v>7</v>
      </c>
      <c r="G27" s="5">
        <v>10</v>
      </c>
      <c r="H27" s="19">
        <v>31</v>
      </c>
      <c r="I27" s="1">
        <f ca="1"/>
        <v>3</v>
      </c>
      <c r="J27" s="44" cm="1">
        <f t="array" aca="1" ref="J27" ca="1">IFERROR(_xlfn.XLOOKUP(1,($A$18:$A$48=$J$24)*($F$18:$F$48=I27),$D$18:$D$48),IF(AND(VALUE(RIGHT($J$24,1))=$K$21,$M$30="Yes"),_xlfn.XLOOKUP(I27,$M$36:$M$42,$K$36:$K$42)," "))</f>
        <v>46148</v>
      </c>
      <c r="K27" s="19" t="str" cm="1">
        <f t="array" aca="1" ref="K27" ca="1">IFERROR(_xlfn.XLOOKUP(1,($A$18:$A$48=$J$24)*($F$18:$F$48=I27),$C$18:$C$48),IF(AND(VALUE(RIGHT($J$24,1))=$K$21,$M$30="Yes"),_xlfn.XLOOKUP(I27,$M$36:$M$42,$J$36:$J$42)," "))</f>
        <v>Wednesday</v>
      </c>
    </row>
    <row r="28" spans="1:17" ht="15" customHeight="1" x14ac:dyDescent="0.3">
      <c r="A28" s="23" t="str">
        <f t="shared" ca="1" si="1"/>
        <v>Week 3</v>
      </c>
      <c r="B28" s="5">
        <f t="shared" ca="1" si="2"/>
        <v>11</v>
      </c>
      <c r="C28" s="18" t="str">
        <f t="shared" ca="1" si="0"/>
        <v>Monday</v>
      </c>
      <c r="D28" s="21">
        <f t="shared" ca="1" si="3"/>
        <v>46153</v>
      </c>
      <c r="E28" s="1">
        <f t="shared" ca="1" si="4"/>
        <v>3</v>
      </c>
      <c r="F28" s="1">
        <f ca="1">IF(B28&lt;&gt;" ",COUNTIF($E$18:E28,E28)," ")</f>
        <v>1</v>
      </c>
      <c r="G28" s="5">
        <v>11</v>
      </c>
      <c r="H28" s="19">
        <v>30</v>
      </c>
      <c r="I28" s="1">
        <f ca="1"/>
        <v>4</v>
      </c>
      <c r="J28" s="44" cm="1">
        <f t="array" aca="1" ref="J28" ca="1">IFERROR(_xlfn.XLOOKUP(1,($A$18:$A$48=$J$24)*($F$18:$F$48=I28),$D$18:$D$48),IF(AND(VALUE(RIGHT($J$24,1))=$K$21,$M$30="Yes"),_xlfn.XLOOKUP(I28,$M$36:$M$42,$K$36:$K$42)," "))</f>
        <v>46149</v>
      </c>
      <c r="K28" s="19" t="str" cm="1">
        <f t="array" aca="1" ref="K28" ca="1">IFERROR(_xlfn.XLOOKUP(1,($A$18:$A$48=$J$24)*($F$18:$F$48=I28),$C$18:$C$48),IF(AND(VALUE(RIGHT($J$24,1))=$K$21,$M$30="Yes"),_xlfn.XLOOKUP(I28,$M$36:$M$42,$J$36:$J$42)," "))</f>
        <v>Thursday</v>
      </c>
      <c r="M28" s="140" t="s">
        <v>64</v>
      </c>
      <c r="N28" s="140"/>
    </row>
    <row r="29" spans="1:17" ht="15" customHeight="1" thickBot="1" x14ac:dyDescent="0.35">
      <c r="A29" s="23" t="str">
        <f t="shared" ca="1" si="1"/>
        <v>Week 3</v>
      </c>
      <c r="B29" s="5">
        <f t="shared" ca="1" si="2"/>
        <v>12</v>
      </c>
      <c r="C29" s="18" t="str">
        <f t="shared" ca="1" si="0"/>
        <v>Tuesday</v>
      </c>
      <c r="D29" s="21">
        <f t="shared" ca="1" si="3"/>
        <v>46154</v>
      </c>
      <c r="E29" s="1">
        <f t="shared" ca="1" si="4"/>
        <v>3</v>
      </c>
      <c r="F29" s="1">
        <f ca="1">IF(B29&lt;&gt;" ",COUNTIF($E$18:E29,E29)," ")</f>
        <v>2</v>
      </c>
      <c r="G29" s="6">
        <v>12</v>
      </c>
      <c r="H29" s="17">
        <v>31</v>
      </c>
      <c r="I29" s="1">
        <f ca="1"/>
        <v>5</v>
      </c>
      <c r="J29" s="44" cm="1">
        <f t="array" aca="1" ref="J29" ca="1">IFERROR(_xlfn.XLOOKUP(1,($A$18:$A$48=$J$24)*($F$18:$F$48=I29),$D$18:$D$48),IF(AND(VALUE(RIGHT($J$24,1))=$K$21,$M$30="Yes"),_xlfn.XLOOKUP(I29,$M$36:$M$42,$K$36:$K$42)," "))</f>
        <v>46150</v>
      </c>
      <c r="K29" s="19" t="str" cm="1">
        <f t="array" aca="1" ref="K29" ca="1">IFERROR(_xlfn.XLOOKUP(1,($A$18:$A$48=$J$24)*($F$18:$F$48=I29),$C$18:$C$48),IF(AND(VALUE(RIGHT($J$24,1))=$K$21,$M$30="Yes"),_xlfn.XLOOKUP(I29,$M$36:$M$42,$J$36:$J$42)," "))</f>
        <v>Friday</v>
      </c>
      <c r="M29" s="140"/>
      <c r="N29" s="140"/>
    </row>
    <row r="30" spans="1:17" ht="15" customHeight="1" x14ac:dyDescent="0.3">
      <c r="A30" s="23" t="str">
        <f t="shared" ca="1" si="1"/>
        <v>Week 3</v>
      </c>
      <c r="B30" s="5">
        <f t="shared" ca="1" si="2"/>
        <v>13</v>
      </c>
      <c r="C30" s="18" t="str">
        <f t="shared" ca="1" si="0"/>
        <v>Wednesday</v>
      </c>
      <c r="D30" s="21">
        <f t="shared" ca="1" si="3"/>
        <v>46155</v>
      </c>
      <c r="E30" s="1">
        <f t="shared" ca="1" si="4"/>
        <v>3</v>
      </c>
      <c r="F30" s="1">
        <f ca="1">IF(B30&lt;&gt;" ",COUNTIF($E$18:E30,E30)," ")</f>
        <v>3</v>
      </c>
      <c r="I30" s="1">
        <f ca="1"/>
        <v>6</v>
      </c>
      <c r="J30" s="44" cm="1">
        <f t="array" aca="1" ref="J30" ca="1">IFERROR(_xlfn.XLOOKUP(1,($A$18:$A$48=$J$24)*($F$18:$F$48=I30),$D$18:$D$48),IF(AND(VALUE(RIGHT($J$24,1))=$K$21,$M$30="Yes"),_xlfn.XLOOKUP(I30,$M$36:$M$42,$K$36:$K$42)," "))</f>
        <v>46151</v>
      </c>
      <c r="K30" s="19" t="str" cm="1">
        <f t="array" aca="1" ref="K30" ca="1">IFERROR(_xlfn.XLOOKUP(1,($A$18:$A$48=$J$24)*($F$18:$F$48=I30),$C$18:$C$48),IF(AND(VALUE(RIGHT($J$24,1))=$K$21,$M$30="Yes"),_xlfn.XLOOKUP(I30,$M$36:$M$42,$J$36:$J$42)," "))</f>
        <v>Saturday</v>
      </c>
      <c r="M30" s="194" t="s">
        <v>63</v>
      </c>
      <c r="N30" s="194"/>
    </row>
    <row r="31" spans="1:17" ht="15" customHeight="1" thickBot="1" x14ac:dyDescent="0.35">
      <c r="A31" s="23" t="str">
        <f t="shared" ca="1" si="1"/>
        <v>Week 3</v>
      </c>
      <c r="B31" s="5">
        <f t="shared" ca="1" si="2"/>
        <v>14</v>
      </c>
      <c r="C31" s="18" t="str">
        <f t="shared" ca="1" si="0"/>
        <v>Thursday</v>
      </c>
      <c r="D31" s="21">
        <f t="shared" ca="1" si="3"/>
        <v>46156</v>
      </c>
      <c r="E31" s="1">
        <f t="shared" ca="1" si="4"/>
        <v>3</v>
      </c>
      <c r="F31" s="1">
        <f ca="1">IF(B31&lt;&gt;" ",COUNTIF($E$18:E31,E31)," ")</f>
        <v>4</v>
      </c>
      <c r="I31" s="1">
        <f ca="1"/>
        <v>7</v>
      </c>
      <c r="J31" s="45" cm="1">
        <f t="array" aca="1" ref="J31" ca="1">IFERROR(_xlfn.XLOOKUP(1,($A$18:$A$48=$J$24)*($F$18:$F$48=I31),$D$18:$D$48),IF(AND(VALUE(RIGHT($J$24,1))=$K$21,$M$30="Yes"),_xlfn.XLOOKUP(I31,$M$36:$M$42,$K$36:$K$42)," "))</f>
        <v>46152</v>
      </c>
      <c r="K31" s="17" t="str" cm="1">
        <f t="array" aca="1" ref="K31" ca="1">IFERROR(_xlfn.XLOOKUP(1,($A$18:$A$48=$J$24)*($F$18:$F$48=I31),$C$18:$C$48),IF(AND(VALUE(RIGHT($J$24,1))=$K$21,$M$30="Yes"),_xlfn.XLOOKUP(I31,$M$36:$M$42,$J$36:$J$42)," "))</f>
        <v>Sunday</v>
      </c>
      <c r="M31" s="2"/>
    </row>
    <row r="32" spans="1:17" ht="15" customHeight="1" x14ac:dyDescent="0.3">
      <c r="A32" s="23" t="str">
        <f t="shared" ca="1" si="1"/>
        <v>Week 3</v>
      </c>
      <c r="B32" s="5">
        <f t="shared" ca="1" si="2"/>
        <v>15</v>
      </c>
      <c r="C32" s="18" t="str">
        <f t="shared" ca="1" si="0"/>
        <v>Friday</v>
      </c>
      <c r="D32" s="21">
        <f t="shared" ca="1" si="3"/>
        <v>46157</v>
      </c>
      <c r="E32" s="1">
        <f t="shared" ca="1" si="4"/>
        <v>3</v>
      </c>
      <c r="F32" s="1">
        <f ca="1">IF(B32&lt;&gt;" ",COUNTIF($E$18:E32,E32)," ")</f>
        <v>5</v>
      </c>
      <c r="M32" s="2"/>
    </row>
    <row r="33" spans="1:13" ht="15" customHeight="1" x14ac:dyDescent="0.3">
      <c r="A33" s="23" t="str">
        <f t="shared" ca="1" si="1"/>
        <v>Week 3</v>
      </c>
      <c r="B33" s="5">
        <f t="shared" ca="1" si="2"/>
        <v>16</v>
      </c>
      <c r="C33" s="18" t="str">
        <f t="shared" ca="1" si="0"/>
        <v>Saturday</v>
      </c>
      <c r="D33" s="21">
        <f t="shared" ca="1" si="3"/>
        <v>46158</v>
      </c>
      <c r="E33" s="1">
        <f t="shared" ca="1" si="4"/>
        <v>3</v>
      </c>
      <c r="F33" s="1">
        <f ca="1">IF(B33&lt;&gt;" ",COUNTIF($E$18:E33,E33)," ")</f>
        <v>6</v>
      </c>
      <c r="M33" s="2"/>
    </row>
    <row r="34" spans="1:13" ht="15" customHeight="1" x14ac:dyDescent="0.3">
      <c r="A34" s="23" t="str">
        <f t="shared" ca="1" si="1"/>
        <v>Week 3</v>
      </c>
      <c r="B34" s="5">
        <f t="shared" ca="1" si="2"/>
        <v>17</v>
      </c>
      <c r="C34" s="18" t="str">
        <f t="shared" ca="1" si="0"/>
        <v>Sunday</v>
      </c>
      <c r="D34" s="21">
        <f t="shared" ca="1" si="3"/>
        <v>46159</v>
      </c>
      <c r="E34" s="1">
        <f t="shared" ca="1" si="4"/>
        <v>3</v>
      </c>
      <c r="F34" s="1">
        <f ca="1">IF(B34&lt;&gt;" ",COUNTIF($E$18:E34,E34)," ")</f>
        <v>7</v>
      </c>
      <c r="J34" s="1">
        <f ca="1">VALUE(YEAR(TODAY()))</f>
        <v>2026</v>
      </c>
      <c r="M34" s="2"/>
    </row>
    <row r="35" spans="1:13" ht="15" customHeight="1" x14ac:dyDescent="0.3">
      <c r="A35" s="23" t="str">
        <f t="shared" ca="1" si="1"/>
        <v>Week 4</v>
      </c>
      <c r="B35" s="5">
        <f t="shared" ca="1" si="2"/>
        <v>18</v>
      </c>
      <c r="C35" s="18" t="str">
        <f t="shared" ca="1" si="0"/>
        <v>Monday</v>
      </c>
      <c r="D35" s="21">
        <f t="shared" ca="1" si="3"/>
        <v>46160</v>
      </c>
      <c r="E35" s="1">
        <f t="shared" ca="1" si="4"/>
        <v>4</v>
      </c>
      <c r="F35" s="1">
        <f ca="1">IF(B35&lt;&gt;" ",COUNTIF($E$18:E35,E35)," ")</f>
        <v>1</v>
      </c>
      <c r="J35" s="1">
        <f ca="1">VALUE(MONTH(TODAY()))</f>
        <v>5</v>
      </c>
      <c r="L35" s="1">
        <v>1</v>
      </c>
    </row>
    <row r="36" spans="1:13" ht="15" customHeight="1" x14ac:dyDescent="0.3">
      <c r="A36" s="23" t="str">
        <f t="shared" ca="1" si="1"/>
        <v>Week 4</v>
      </c>
      <c r="B36" s="5">
        <f t="shared" ca="1" si="2"/>
        <v>19</v>
      </c>
      <c r="C36" s="18" t="str">
        <f t="shared" ca="1" si="0"/>
        <v>Tuesday</v>
      </c>
      <c r="D36" s="21">
        <f t="shared" ca="1" si="3"/>
        <v>46161</v>
      </c>
      <c r="E36" s="1">
        <f t="shared" ca="1" si="4"/>
        <v>4</v>
      </c>
      <c r="F36" s="1">
        <f ca="1">IF(B36&lt;&gt;" ",COUNTIF($E$18:E36,E36)," ")</f>
        <v>2</v>
      </c>
      <c r="H36" s="23" t="str">
        <f t="shared" ref="H36:H42" ca="1" si="10">IF(L36=" "," ",IF(I36&lt;&gt;" ","Week "&amp;L36," "))</f>
        <v>Week 1</v>
      </c>
      <c r="I36" s="1">
        <v>1</v>
      </c>
      <c r="J36" s="1" t="str">
        <f ca="1">IFERROR(TEXT(DATE($J$34,$J$35,I36),"dddd")," ")</f>
        <v>Friday</v>
      </c>
      <c r="K36" s="53">
        <f ca="1">IFERROR(DATE($J$34,$J$35,I36)," ")</f>
        <v>46143</v>
      </c>
      <c r="L36" s="1">
        <f ca="1">IF(I36=" "," ",IF(AND(J36="Monday",H35&lt;&gt;" "),E17+1,E17))</f>
        <v>1</v>
      </c>
      <c r="M36" s="1">
        <f ca="1">I28+1</f>
        <v>5</v>
      </c>
    </row>
    <row r="37" spans="1:13" ht="15" customHeight="1" x14ac:dyDescent="0.3">
      <c r="A37" s="23" t="str">
        <f t="shared" ca="1" si="1"/>
        <v>Week 4</v>
      </c>
      <c r="B37" s="5">
        <f t="shared" ca="1" si="2"/>
        <v>20</v>
      </c>
      <c r="C37" s="18" t="str">
        <f t="shared" ca="1" si="0"/>
        <v>Wednesday</v>
      </c>
      <c r="D37" s="21">
        <f t="shared" ca="1" si="3"/>
        <v>46162</v>
      </c>
      <c r="E37" s="1">
        <f t="shared" ca="1" si="4"/>
        <v>4</v>
      </c>
      <c r="F37" s="1">
        <f ca="1">IF(B37&lt;&gt;" ",COUNTIF($E$18:E37,E37)," ")</f>
        <v>3</v>
      </c>
      <c r="H37" s="23" t="str">
        <f t="shared" ca="1" si="10"/>
        <v>Week 1</v>
      </c>
      <c r="I37" s="1">
        <v>2</v>
      </c>
      <c r="J37" s="1" t="str">
        <f t="shared" ref="J37:J42" ca="1" si="11">IFERROR(TEXT(DATE($J$34,$J$35,I37),"dddd")," ")</f>
        <v>Saturday</v>
      </c>
      <c r="K37" s="53">
        <f t="shared" ref="K37:K42" ca="1" si="12">IFERROR(DATE($J$34,$J$35,I37)," ")</f>
        <v>46144</v>
      </c>
      <c r="L37" s="1">
        <f t="shared" ref="L37:L42" ca="1" si="13">IF(IF(I37=" "," ",IF(J37="Monday",L36+1,L36))&gt;1," ",IF(I37=" "," ",IF(J37="Monday",L36+1,L36)))</f>
        <v>1</v>
      </c>
      <c r="M37" s="1">
        <f t="shared" ref="M37:M42" ca="1" si="14">IF(M36&gt;=7," ",M36+1)</f>
        <v>6</v>
      </c>
    </row>
    <row r="38" spans="1:13" ht="15" customHeight="1" x14ac:dyDescent="0.3">
      <c r="A38" s="23" t="str">
        <f t="shared" ca="1" si="1"/>
        <v>Week 4</v>
      </c>
      <c r="B38" s="5">
        <f t="shared" ca="1" si="2"/>
        <v>21</v>
      </c>
      <c r="C38" s="18" t="str">
        <f t="shared" ca="1" si="0"/>
        <v>Thursday</v>
      </c>
      <c r="D38" s="21">
        <f t="shared" ca="1" si="3"/>
        <v>46163</v>
      </c>
      <c r="E38" s="1">
        <f t="shared" ca="1" si="4"/>
        <v>4</v>
      </c>
      <c r="F38" s="1">
        <f ca="1">IF(B38&lt;&gt;" ",COUNTIF($E$18:E38,E38)," ")</f>
        <v>4</v>
      </c>
      <c r="H38" s="23" t="str">
        <f t="shared" ca="1" si="10"/>
        <v>Week 1</v>
      </c>
      <c r="I38" s="1">
        <v>3</v>
      </c>
      <c r="J38" s="1" t="str">
        <f t="shared" ca="1" si="11"/>
        <v>Sunday</v>
      </c>
      <c r="K38" s="53">
        <f t="shared" ca="1" si="12"/>
        <v>46145</v>
      </c>
      <c r="L38" s="1">
        <f t="shared" ca="1" si="13"/>
        <v>1</v>
      </c>
      <c r="M38" s="1">
        <f t="shared" ca="1" si="14"/>
        <v>7</v>
      </c>
    </row>
    <row r="39" spans="1:13" ht="15" customHeight="1" x14ac:dyDescent="0.3">
      <c r="A39" s="23" t="str">
        <f t="shared" ca="1" si="1"/>
        <v>Week 4</v>
      </c>
      <c r="B39" s="5">
        <f t="shared" ca="1" si="2"/>
        <v>22</v>
      </c>
      <c r="C39" s="18" t="str">
        <f t="shared" ca="1" si="0"/>
        <v>Friday</v>
      </c>
      <c r="D39" s="21">
        <f t="shared" ca="1" si="3"/>
        <v>46164</v>
      </c>
      <c r="E39" s="1">
        <f t="shared" ca="1" si="4"/>
        <v>4</v>
      </c>
      <c r="F39" s="1">
        <f ca="1">IF(B39&lt;&gt;" ",COUNTIF($E$18:E39,E39)," ")</f>
        <v>5</v>
      </c>
      <c r="H39" s="23" t="str">
        <f t="shared" ca="1" si="10"/>
        <v xml:space="preserve"> </v>
      </c>
      <c r="I39" s="1">
        <v>4</v>
      </c>
      <c r="J39" s="1" t="str">
        <f t="shared" ca="1" si="11"/>
        <v>Monday</v>
      </c>
      <c r="K39" s="53">
        <f t="shared" ca="1" si="12"/>
        <v>46146</v>
      </c>
      <c r="L39" s="1" t="str">
        <f t="shared" ca="1" si="13"/>
        <v xml:space="preserve"> </v>
      </c>
      <c r="M39" s="1" t="str">
        <f t="shared" ca="1" si="14"/>
        <v xml:space="preserve"> </v>
      </c>
    </row>
    <row r="40" spans="1:13" ht="15" customHeight="1" x14ac:dyDescent="0.3">
      <c r="A40" s="23" t="str">
        <f t="shared" ca="1" si="1"/>
        <v>Week 4</v>
      </c>
      <c r="B40" s="5">
        <f t="shared" ca="1" si="2"/>
        <v>23</v>
      </c>
      <c r="C40" s="18" t="str">
        <f t="shared" ca="1" si="0"/>
        <v>Saturday</v>
      </c>
      <c r="D40" s="21">
        <f t="shared" ca="1" si="3"/>
        <v>46165</v>
      </c>
      <c r="E40" s="1">
        <f t="shared" ca="1" si="4"/>
        <v>4</v>
      </c>
      <c r="F40" s="1">
        <f ca="1">IF(B40&lt;&gt;" ",COUNTIF($E$18:E40,E40)," ")</f>
        <v>6</v>
      </c>
      <c r="H40" s="23" t="str">
        <f t="shared" ca="1" si="10"/>
        <v xml:space="preserve"> </v>
      </c>
      <c r="I40" s="1">
        <v>5</v>
      </c>
      <c r="J40" s="1" t="str">
        <f t="shared" ca="1" si="11"/>
        <v>Tuesday</v>
      </c>
      <c r="K40" s="53">
        <f t="shared" ca="1" si="12"/>
        <v>46147</v>
      </c>
      <c r="L40" s="1" t="str">
        <f t="shared" ca="1" si="13"/>
        <v xml:space="preserve"> </v>
      </c>
      <c r="M40" s="1" t="str">
        <f t="shared" ca="1" si="14"/>
        <v xml:space="preserve"> </v>
      </c>
    </row>
    <row r="41" spans="1:13" ht="15" customHeight="1" x14ac:dyDescent="0.3">
      <c r="A41" s="23" t="str">
        <f t="shared" ca="1" si="1"/>
        <v>Week 4</v>
      </c>
      <c r="B41" s="5">
        <f t="shared" ca="1" si="2"/>
        <v>24</v>
      </c>
      <c r="C41" s="18" t="str">
        <f t="shared" ca="1" si="0"/>
        <v>Sunday</v>
      </c>
      <c r="D41" s="21">
        <f t="shared" ca="1" si="3"/>
        <v>46166</v>
      </c>
      <c r="E41" s="1">
        <f t="shared" ca="1" si="4"/>
        <v>4</v>
      </c>
      <c r="F41" s="1">
        <f ca="1">IF(B41&lt;&gt;" ",COUNTIF($E$18:E41,E41)," ")</f>
        <v>7</v>
      </c>
      <c r="H41" s="23" t="str">
        <f t="shared" ca="1" si="10"/>
        <v xml:space="preserve"> </v>
      </c>
      <c r="I41" s="1">
        <v>6</v>
      </c>
      <c r="J41" s="1" t="str">
        <f t="shared" ca="1" si="11"/>
        <v>Wednesday</v>
      </c>
      <c r="K41" s="53">
        <f t="shared" ca="1" si="12"/>
        <v>46148</v>
      </c>
      <c r="L41" s="1" t="str">
        <f t="shared" ca="1" si="13"/>
        <v xml:space="preserve"> </v>
      </c>
      <c r="M41" s="1" t="str">
        <f t="shared" ca="1" si="14"/>
        <v xml:space="preserve"> </v>
      </c>
    </row>
    <row r="42" spans="1:13" ht="15" customHeight="1" x14ac:dyDescent="0.3">
      <c r="A42" s="23" t="str">
        <f t="shared" ca="1" si="1"/>
        <v>Week 5</v>
      </c>
      <c r="B42" s="5">
        <f t="shared" ca="1" si="2"/>
        <v>25</v>
      </c>
      <c r="C42" s="18" t="str">
        <f t="shared" ca="1" si="0"/>
        <v>Monday</v>
      </c>
      <c r="D42" s="21">
        <f t="shared" ca="1" si="3"/>
        <v>46167</v>
      </c>
      <c r="E42" s="1">
        <f t="shared" ca="1" si="4"/>
        <v>5</v>
      </c>
      <c r="F42" s="1">
        <f ca="1">IF(B42&lt;&gt;" ",COUNTIF($E$18:E42,E42)," ")</f>
        <v>1</v>
      </c>
      <c r="H42" s="23" t="str">
        <f t="shared" ca="1" si="10"/>
        <v xml:space="preserve"> </v>
      </c>
      <c r="I42" s="1">
        <v>7</v>
      </c>
      <c r="J42" s="1" t="str">
        <f t="shared" ca="1" si="11"/>
        <v>Thursday</v>
      </c>
      <c r="K42" s="53">
        <f t="shared" ca="1" si="12"/>
        <v>46149</v>
      </c>
      <c r="L42" s="1" t="str">
        <f t="shared" ca="1" si="13"/>
        <v xml:space="preserve"> </v>
      </c>
      <c r="M42" s="1" t="str">
        <f t="shared" ca="1" si="14"/>
        <v xml:space="preserve"> </v>
      </c>
    </row>
    <row r="43" spans="1:13" ht="15" customHeight="1" x14ac:dyDescent="0.3">
      <c r="A43" s="23" t="str">
        <f t="shared" ca="1" si="1"/>
        <v>Week 5</v>
      </c>
      <c r="B43" s="5">
        <f t="shared" ca="1" si="2"/>
        <v>26</v>
      </c>
      <c r="C43" s="18" t="str">
        <f t="shared" ca="1" si="0"/>
        <v>Tuesday</v>
      </c>
      <c r="D43" s="21">
        <f t="shared" ca="1" si="3"/>
        <v>46168</v>
      </c>
      <c r="E43" s="1">
        <f t="shared" ca="1" si="4"/>
        <v>5</v>
      </c>
      <c r="F43" s="1">
        <f ca="1">IF(B43&lt;&gt;" ",COUNTIF($E$18:E43,E43)," ")</f>
        <v>2</v>
      </c>
    </row>
    <row r="44" spans="1:13" ht="15" customHeight="1" x14ac:dyDescent="0.3">
      <c r="A44" s="23" t="str">
        <f t="shared" ca="1" si="1"/>
        <v>Week 5</v>
      </c>
      <c r="B44" s="5">
        <f t="shared" ca="1" si="2"/>
        <v>27</v>
      </c>
      <c r="C44" s="18" t="str">
        <f t="shared" ca="1" si="0"/>
        <v>Wednesday</v>
      </c>
      <c r="D44" s="21">
        <f t="shared" ca="1" si="3"/>
        <v>46169</v>
      </c>
      <c r="E44" s="1">
        <f t="shared" ca="1" si="4"/>
        <v>5</v>
      </c>
      <c r="F44" s="1">
        <f ca="1">IF(B44&lt;&gt;" ",COUNTIF($E$18:E44,E44)," ")</f>
        <v>3</v>
      </c>
    </row>
    <row r="45" spans="1:13" ht="15" customHeight="1" x14ac:dyDescent="0.3">
      <c r="A45" s="23" t="str">
        <f t="shared" ca="1" si="1"/>
        <v>Week 5</v>
      </c>
      <c r="B45" s="5">
        <f t="shared" ca="1" si="2"/>
        <v>28</v>
      </c>
      <c r="C45" s="18" t="str">
        <f t="shared" ca="1" si="0"/>
        <v>Thursday</v>
      </c>
      <c r="D45" s="21">
        <f t="shared" ca="1" si="3"/>
        <v>46170</v>
      </c>
      <c r="E45" s="1">
        <f t="shared" ca="1" si="4"/>
        <v>5</v>
      </c>
      <c r="F45" s="1">
        <f ca="1">IF(B45&lt;&gt;" ",COUNTIF($E$18:E45,E45)," ")</f>
        <v>4</v>
      </c>
    </row>
    <row r="46" spans="1:13" ht="15" customHeight="1" x14ac:dyDescent="0.3">
      <c r="A46" s="23" t="str">
        <f t="shared" ca="1" si="1"/>
        <v>Week 5</v>
      </c>
      <c r="B46" s="5">
        <f t="shared" ca="1" si="2"/>
        <v>29</v>
      </c>
      <c r="C46" s="18" t="str">
        <f t="shared" ca="1" si="0"/>
        <v>Friday</v>
      </c>
      <c r="D46" s="21">
        <f t="shared" ca="1" si="3"/>
        <v>46171</v>
      </c>
      <c r="E46" s="1">
        <f t="shared" ca="1" si="4"/>
        <v>5</v>
      </c>
      <c r="F46" s="1">
        <f ca="1">IF(B46&lt;&gt;" ",COUNTIF($E$18:E46,E46)," ")</f>
        <v>5</v>
      </c>
    </row>
    <row r="47" spans="1:13" ht="15" customHeight="1" x14ac:dyDescent="0.3">
      <c r="A47" s="23" t="str">
        <f t="shared" ca="1" si="1"/>
        <v>Week 5</v>
      </c>
      <c r="B47" s="5">
        <f t="shared" ca="1" si="2"/>
        <v>30</v>
      </c>
      <c r="C47" s="18" t="str">
        <f t="shared" ca="1" si="0"/>
        <v>Saturday</v>
      </c>
      <c r="D47" s="21">
        <f t="shared" ca="1" si="3"/>
        <v>46172</v>
      </c>
      <c r="E47" s="1">
        <f t="shared" ca="1" si="4"/>
        <v>5</v>
      </c>
      <c r="F47" s="1">
        <f ca="1">IF(B47&lt;&gt;" ",COUNTIF($E$18:E47,E47)," ")</f>
        <v>6</v>
      </c>
    </row>
    <row r="48" spans="1:13" ht="14.4" thickBot="1" x14ac:dyDescent="0.35">
      <c r="A48" s="23" t="str">
        <f t="shared" ca="1" si="1"/>
        <v>Week 5</v>
      </c>
      <c r="B48" s="6">
        <f t="shared" ca="1" si="2"/>
        <v>31</v>
      </c>
      <c r="C48" s="20" t="str">
        <f t="shared" ca="1" si="0"/>
        <v>Sunday</v>
      </c>
      <c r="D48" s="22">
        <f t="shared" ca="1" si="3"/>
        <v>46173</v>
      </c>
      <c r="E48" s="1">
        <f t="shared" ca="1" si="4"/>
        <v>5</v>
      </c>
      <c r="F48" s="1">
        <f ca="1">IF(B48&lt;&gt;" ",COUNTIF($E$18:E48,E48)," ")</f>
        <v>7</v>
      </c>
    </row>
  </sheetData>
  <mergeCells count="15">
    <mergeCell ref="B16:D16"/>
    <mergeCell ref="B15:D15"/>
    <mergeCell ref="G15:H17"/>
    <mergeCell ref="K15:L15"/>
    <mergeCell ref="K16:L16"/>
    <mergeCell ref="F16:F17"/>
    <mergeCell ref="M30:N30"/>
    <mergeCell ref="M28:N29"/>
    <mergeCell ref="M17:Q17"/>
    <mergeCell ref="J24:K24"/>
    <mergeCell ref="E4:V9"/>
    <mergeCell ref="N15:O15"/>
    <mergeCell ref="N16:O16"/>
    <mergeCell ref="Q15:R15"/>
    <mergeCell ref="Q16:R16"/>
  </mergeCells>
  <phoneticPr fontId="9" type="noConversion"/>
  <conditionalFormatting sqref="A18:A48">
    <cfRule type="expression" dxfId="9" priority="15">
      <formula>A18="Week 1"</formula>
    </cfRule>
  </conditionalFormatting>
  <conditionalFormatting sqref="A18:A48">
    <cfRule type="expression" dxfId="8" priority="14">
      <formula>A18="Week 2"</formula>
    </cfRule>
  </conditionalFormatting>
  <conditionalFormatting sqref="A18:A48">
    <cfRule type="expression" dxfId="7" priority="13">
      <formula>A18="Week 3"</formula>
    </cfRule>
  </conditionalFormatting>
  <conditionalFormatting sqref="A18:A48">
    <cfRule type="expression" dxfId="6" priority="12">
      <formula>A18="Week 4"</formula>
    </cfRule>
  </conditionalFormatting>
  <conditionalFormatting sqref="A18:A48">
    <cfRule type="expression" dxfId="5" priority="11">
      <formula>A18="Week 5"</formula>
    </cfRule>
  </conditionalFormatting>
  <conditionalFormatting sqref="H36:H42">
    <cfRule type="expression" dxfId="4" priority="5">
      <formula>H36="Week 1"</formula>
    </cfRule>
  </conditionalFormatting>
  <conditionalFormatting sqref="H36:H42">
    <cfRule type="expression" dxfId="3" priority="4">
      <formula>H36="Week 2"</formula>
    </cfRule>
  </conditionalFormatting>
  <conditionalFormatting sqref="H36:H42">
    <cfRule type="expression" dxfId="2" priority="3">
      <formula>H36="Week 3"</formula>
    </cfRule>
  </conditionalFormatting>
  <conditionalFormatting sqref="H36:H42">
    <cfRule type="expression" dxfId="1" priority="2">
      <formula>H36="Week 4"</formula>
    </cfRule>
  </conditionalFormatting>
  <conditionalFormatting sqref="H36:H42">
    <cfRule type="expression" dxfId="0" priority="1">
      <formula>H36="Week 5"</formula>
    </cfRule>
  </conditionalFormatting>
  <dataValidations count="1">
    <dataValidation type="list" allowBlank="1" showInputMessage="1" showErrorMessage="1" sqref="M30:N30" xr:uid="{7D989679-D9F3-482A-8A53-23E50CC624C4}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49C11-5D9E-4031-8248-8285A5F83585}">
  <sheetPr codeName="Sheet3">
    <tabColor rgb="FF92D050"/>
    <pageSetUpPr fitToPage="1"/>
  </sheetPr>
  <dimension ref="A2:AE40"/>
  <sheetViews>
    <sheetView tabSelected="1" topLeftCell="A4" zoomScale="70" zoomScaleNormal="70" workbookViewId="0">
      <selection activeCell="D32" sqref="D32"/>
    </sheetView>
  </sheetViews>
  <sheetFormatPr defaultRowHeight="13.8" x14ac:dyDescent="0.3"/>
  <cols>
    <col min="1" max="1" width="8.88671875" style="1"/>
    <col min="2" max="2" width="8.88671875" style="1" customWidth="1"/>
    <col min="3" max="3" width="4.6640625" style="1" customWidth="1"/>
    <col min="4" max="5" width="14.5546875" style="1" customWidth="1"/>
    <col min="6" max="7" width="13.109375" style="1" customWidth="1"/>
    <col min="8" max="8" width="13.109375" style="1" hidden="1" customWidth="1"/>
    <col min="9" max="10" width="13.109375" style="1" customWidth="1"/>
    <col min="11" max="11" width="13.109375" style="1" hidden="1" customWidth="1"/>
    <col min="12" max="13" width="13.109375" style="1" customWidth="1"/>
    <col min="14" max="14" width="13.109375" style="1" hidden="1" customWidth="1"/>
    <col min="15" max="16" width="13.109375" style="1" customWidth="1"/>
    <col min="17" max="17" width="13.109375" style="1" hidden="1" customWidth="1"/>
    <col min="18" max="19" width="13.109375" style="1" customWidth="1"/>
    <col min="20" max="20" width="13.109375" style="1" hidden="1" customWidth="1"/>
    <col min="21" max="22" width="13.109375" style="1" customWidth="1"/>
    <col min="23" max="23" width="13.109375" style="1" hidden="1" customWidth="1"/>
    <col min="24" max="24" width="13.109375" style="1" customWidth="1"/>
    <col min="25" max="25" width="13.44140625" style="1" customWidth="1"/>
    <col min="26" max="26" width="13.44140625" style="1" hidden="1" customWidth="1"/>
    <col min="27" max="27" width="13.44140625" style="1" customWidth="1"/>
    <col min="28" max="30" width="8.88671875" style="1" customWidth="1"/>
    <col min="31" max="16384" width="8.88671875" style="1"/>
  </cols>
  <sheetData>
    <row r="2" spans="1:31" ht="13.8" customHeight="1" x14ac:dyDescent="0.3"/>
    <row r="3" spans="1:31" ht="13.8" customHeight="1" thickBot="1" x14ac:dyDescent="0.35"/>
    <row r="4" spans="1:31" ht="13.8" customHeight="1" x14ac:dyDescent="0.3">
      <c r="C4" s="96" t="s">
        <v>51</v>
      </c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8"/>
    </row>
    <row r="5" spans="1:31" ht="13.8" customHeight="1" thickBot="1" x14ac:dyDescent="0.35">
      <c r="C5" s="99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1"/>
    </row>
    <row r="6" spans="1:31" ht="24.6" customHeight="1" thickBot="1" x14ac:dyDescent="0.35">
      <c r="C6" s="102" t="str">
        <f ca="1">"WEEKLY PAYMENT LABOUR &amp; MASON ("&amp;TEXT(F7,"dd/mm/yyyy")&amp;" To "&amp;TEXT(X7,"dd/mm/yyyy")&amp;")"</f>
        <v>WEEKLY PAYMENT LABOUR &amp; MASON (04/05/2026 To 10/05/2026)</v>
      </c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</row>
    <row r="7" spans="1:31" ht="13.8" customHeight="1" thickBot="1" x14ac:dyDescent="0.35">
      <c r="A7" s="103"/>
      <c r="B7" s="104"/>
      <c r="C7" s="92" t="s">
        <v>2</v>
      </c>
      <c r="D7" s="113" t="s">
        <v>0</v>
      </c>
      <c r="E7" s="118" t="s">
        <v>1</v>
      </c>
      <c r="F7" s="89">
        <f ca="1">'Imp Tables'!$J$25</f>
        <v>46146</v>
      </c>
      <c r="G7" s="90"/>
      <c r="H7" s="91"/>
      <c r="I7" s="89">
        <f ca="1">'Imp Tables'!$J$26</f>
        <v>46147</v>
      </c>
      <c r="J7" s="90"/>
      <c r="K7" s="91"/>
      <c r="L7" s="89">
        <f ca="1">'Imp Tables'!$J$27</f>
        <v>46148</v>
      </c>
      <c r="M7" s="90"/>
      <c r="N7" s="91"/>
      <c r="O7" s="89">
        <f ca="1">'Imp Tables'!$J$28</f>
        <v>46149</v>
      </c>
      <c r="P7" s="90"/>
      <c r="Q7" s="91"/>
      <c r="R7" s="89">
        <f ca="1">'Imp Tables'!$J$29</f>
        <v>46150</v>
      </c>
      <c r="S7" s="90"/>
      <c r="T7" s="91"/>
      <c r="U7" s="89">
        <f ca="1">'Imp Tables'!$J$30</f>
        <v>46151</v>
      </c>
      <c r="V7" s="90"/>
      <c r="W7" s="91"/>
      <c r="X7" s="111">
        <f ca="1">'Imp Tables'!$J$31</f>
        <v>46152</v>
      </c>
      <c r="Y7" s="112"/>
      <c r="Z7" s="94" t="s">
        <v>49</v>
      </c>
      <c r="AA7" s="92" t="s">
        <v>54</v>
      </c>
    </row>
    <row r="8" spans="1:31" ht="13.8" customHeight="1" thickBot="1" x14ac:dyDescent="0.35">
      <c r="A8" s="105"/>
      <c r="B8" s="106"/>
      <c r="C8" s="109"/>
      <c r="D8" s="114"/>
      <c r="E8" s="119"/>
      <c r="F8" s="116" t="str">
        <f ca="1">'Imp Tables'!$K$25</f>
        <v>Monday</v>
      </c>
      <c r="G8" s="117"/>
      <c r="H8" s="81" t="s">
        <v>49</v>
      </c>
      <c r="I8" s="116" t="str">
        <f ca="1">'Imp Tables'!$K$26</f>
        <v>Tuesday</v>
      </c>
      <c r="J8" s="117"/>
      <c r="K8" s="81" t="s">
        <v>49</v>
      </c>
      <c r="L8" s="116" t="str">
        <f ca="1">'Imp Tables'!$K$27</f>
        <v>Wednesday</v>
      </c>
      <c r="M8" s="117"/>
      <c r="N8" s="81" t="s">
        <v>49</v>
      </c>
      <c r="O8" s="116" t="str">
        <f ca="1">'Imp Tables'!$K$28</f>
        <v>Thursday</v>
      </c>
      <c r="P8" s="117"/>
      <c r="Q8" s="81" t="s">
        <v>49</v>
      </c>
      <c r="R8" s="116" t="str">
        <f ca="1">'Imp Tables'!$K$29</f>
        <v>Friday</v>
      </c>
      <c r="S8" s="117"/>
      <c r="T8" s="81" t="s">
        <v>49</v>
      </c>
      <c r="U8" s="116" t="str">
        <f ca="1">'Imp Tables'!$K$30</f>
        <v>Saturday</v>
      </c>
      <c r="V8" s="117"/>
      <c r="W8" s="81" t="s">
        <v>49</v>
      </c>
      <c r="X8" s="116" t="str">
        <f ca="1">'Imp Tables'!$K$31</f>
        <v>Sunday</v>
      </c>
      <c r="Y8" s="117"/>
      <c r="Z8" s="95"/>
      <c r="AA8" s="93"/>
    </row>
    <row r="9" spans="1:31" ht="13.8" customHeight="1" thickBot="1" x14ac:dyDescent="0.35">
      <c r="A9" s="105"/>
      <c r="B9" s="106"/>
      <c r="C9" s="110"/>
      <c r="D9" s="115"/>
      <c r="E9" s="120"/>
      <c r="F9" s="79" t="s">
        <v>48</v>
      </c>
      <c r="G9" s="80" t="str">
        <f ca="1">IF($F$8&lt;&gt;" ","Time Out"," ")</f>
        <v>Time Out</v>
      </c>
      <c r="H9" s="66" t="s">
        <v>50</v>
      </c>
      <c r="I9" s="79" t="str">
        <f ca="1">IF($I$8&lt;&gt;" ","Time In"," ")</f>
        <v>Time In</v>
      </c>
      <c r="J9" s="80" t="str">
        <f ca="1">IF($I$8&lt;&gt;" ","Time Out"," ")</f>
        <v>Time Out</v>
      </c>
      <c r="K9" s="66" t="s">
        <v>50</v>
      </c>
      <c r="L9" s="79" t="str">
        <f ca="1">IF($L$8&lt;&gt;" ","Time In"," ")</f>
        <v>Time In</v>
      </c>
      <c r="M9" s="80" t="str">
        <f ca="1">IF($L$8&lt;&gt;" ","Time Out"," ")</f>
        <v>Time Out</v>
      </c>
      <c r="N9" s="66" t="s">
        <v>50</v>
      </c>
      <c r="O9" s="79" t="str">
        <f ca="1">IF($O$8&lt;&gt;" ","Time In"," ")</f>
        <v>Time In</v>
      </c>
      <c r="P9" s="80" t="str">
        <f ca="1">IF($O$8&lt;&gt;" ","Time Out"," ")</f>
        <v>Time Out</v>
      </c>
      <c r="Q9" s="66" t="s">
        <v>50</v>
      </c>
      <c r="R9" s="79" t="str">
        <f ca="1">IF($R$8&lt;&gt;" ","Time In"," ")</f>
        <v>Time In</v>
      </c>
      <c r="S9" s="80" t="str">
        <f ca="1">IF($R$8&lt;&gt;" ","Time Out"," ")</f>
        <v>Time Out</v>
      </c>
      <c r="T9" s="66" t="s">
        <v>50</v>
      </c>
      <c r="U9" s="79" t="str">
        <f ca="1">IF($U$8&lt;&gt;" ","Time In"," ")</f>
        <v>Time In</v>
      </c>
      <c r="V9" s="80" t="str">
        <f ca="1">IF($U$8&lt;&gt;" ","Time Out"," ")</f>
        <v>Time Out</v>
      </c>
      <c r="W9" s="66" t="s">
        <v>50</v>
      </c>
      <c r="X9" s="79" t="str">
        <f ca="1">IF(X8&lt;&gt;" ","Time In"," ")</f>
        <v>Time In</v>
      </c>
      <c r="Y9" s="80" t="str">
        <f ca="1">IF(X8&lt;&gt;" ","Time Out"," ")</f>
        <v>Time Out</v>
      </c>
      <c r="Z9" s="66"/>
      <c r="AA9" s="26" t="s">
        <v>50</v>
      </c>
    </row>
    <row r="10" spans="1:31" ht="23.4" customHeight="1" x14ac:dyDescent="0.3">
      <c r="A10" s="105"/>
      <c r="B10" s="106"/>
      <c r="C10" s="70" t="s">
        <v>67</v>
      </c>
      <c r="D10" s="70" t="str">
        <f>IF('Wages Calculator'!C14=0," ",'Wages Calculator'!C14)</f>
        <v>Saqlain</v>
      </c>
      <c r="E10" s="4"/>
      <c r="F10" s="75"/>
      <c r="G10" s="76"/>
      <c r="H10" s="49"/>
      <c r="I10" s="75"/>
      <c r="J10" s="76"/>
      <c r="K10" s="49"/>
      <c r="L10" s="75"/>
      <c r="M10" s="76"/>
      <c r="N10" s="49"/>
      <c r="O10" s="48"/>
      <c r="P10" s="47"/>
      <c r="Q10" s="49"/>
      <c r="R10" s="48"/>
      <c r="S10" s="47"/>
      <c r="T10" s="49"/>
      <c r="U10" s="75"/>
      <c r="V10" s="76"/>
      <c r="W10" s="49"/>
      <c r="X10" s="48"/>
      <c r="Y10" s="47"/>
      <c r="Z10" s="70"/>
      <c r="AA10" s="82" t="str">
        <f t="shared" ref="AA10:AA27" si="0">IF(Z10+W10+T10+Q10+N10+K10++H10=0," ",Z10+W10+T10+Q10+N10+K10++H10)</f>
        <v xml:space="preserve"> </v>
      </c>
    </row>
    <row r="11" spans="1:31" ht="23.4" customHeight="1" x14ac:dyDescent="0.3">
      <c r="A11" s="105"/>
      <c r="B11" s="106"/>
      <c r="C11" s="67">
        <v>1</v>
      </c>
      <c r="D11" s="67" t="str">
        <f>IF('Wages Calculator'!C15=0," ",'Wages Calculator'!C15)</f>
        <v>Haider</v>
      </c>
      <c r="E11" s="67" t="s">
        <v>31</v>
      </c>
      <c r="F11" s="68">
        <v>0.33333333333333331</v>
      </c>
      <c r="G11" s="69">
        <v>0.70833333333333337</v>
      </c>
      <c r="H11" s="38">
        <v>1500</v>
      </c>
      <c r="I11" s="68">
        <v>0.33333333333333331</v>
      </c>
      <c r="J11" s="69">
        <v>0.70833333333333337</v>
      </c>
      <c r="K11" s="38">
        <v>1500</v>
      </c>
      <c r="L11" s="68">
        <v>0.33333333333333331</v>
      </c>
      <c r="M11" s="69">
        <v>0.70833333333333337</v>
      </c>
      <c r="N11" s="38">
        <v>1500</v>
      </c>
      <c r="O11" s="68"/>
      <c r="P11" s="69"/>
      <c r="Q11" s="38"/>
      <c r="R11" s="68"/>
      <c r="S11" s="69"/>
      <c r="T11" s="38"/>
      <c r="U11" s="68"/>
      <c r="V11" s="69"/>
      <c r="W11" s="38"/>
      <c r="X11" s="68"/>
      <c r="Y11" s="69"/>
      <c r="Z11" s="67"/>
      <c r="AA11" s="83">
        <f t="shared" si="0"/>
        <v>4500</v>
      </c>
      <c r="AB11" s="85"/>
    </row>
    <row r="12" spans="1:31" ht="23.4" customHeight="1" x14ac:dyDescent="0.3">
      <c r="A12" s="105"/>
      <c r="B12" s="106"/>
      <c r="C12" s="67" t="s">
        <v>67</v>
      </c>
      <c r="D12" s="67" t="str">
        <f>IF('Wages Calculator'!C16=0," ",'Wages Calculator'!C16)</f>
        <v>Naveed</v>
      </c>
      <c r="E12" s="67"/>
      <c r="F12" s="68"/>
      <c r="G12" s="69"/>
      <c r="H12" s="38"/>
      <c r="I12" s="5"/>
      <c r="J12" s="19"/>
      <c r="K12" s="38"/>
      <c r="L12" s="68"/>
      <c r="M12" s="69"/>
      <c r="N12" s="38"/>
      <c r="O12" s="5"/>
      <c r="P12" s="19"/>
      <c r="Q12" s="38"/>
      <c r="R12" s="5"/>
      <c r="S12" s="19"/>
      <c r="T12" s="38"/>
      <c r="U12" s="5"/>
      <c r="V12" s="19"/>
      <c r="W12" s="38"/>
      <c r="X12" s="5"/>
      <c r="Y12" s="19"/>
      <c r="Z12" s="67"/>
      <c r="AA12" s="83" t="str">
        <f t="shared" si="0"/>
        <v xml:space="preserve"> </v>
      </c>
    </row>
    <row r="13" spans="1:31" ht="23.4" customHeight="1" x14ac:dyDescent="0.3">
      <c r="A13" s="105"/>
      <c r="B13" s="106"/>
      <c r="C13" s="67">
        <v>2</v>
      </c>
      <c r="D13" s="67" t="str">
        <f>IF('Wages Calculator'!C17=0," ",'Wages Calculator'!C17)</f>
        <v>Usman</v>
      </c>
      <c r="E13" s="67" t="s">
        <v>31</v>
      </c>
      <c r="F13" s="68">
        <v>0.33333333333333331</v>
      </c>
      <c r="G13" s="69">
        <v>0.70833333333333337</v>
      </c>
      <c r="H13" s="38">
        <v>1500</v>
      </c>
      <c r="I13" s="68">
        <v>0.33333333333333331</v>
      </c>
      <c r="J13" s="69">
        <v>0.70833333333333337</v>
      </c>
      <c r="K13" s="38">
        <v>1500</v>
      </c>
      <c r="L13" s="68">
        <v>0.33333333333333331</v>
      </c>
      <c r="M13" s="69">
        <v>0.70833333333333337</v>
      </c>
      <c r="N13" s="38">
        <v>1500</v>
      </c>
      <c r="O13" s="68"/>
      <c r="P13" s="69"/>
      <c r="Q13" s="38"/>
      <c r="R13" s="68"/>
      <c r="S13" s="69"/>
      <c r="T13" s="38"/>
      <c r="U13" s="68"/>
      <c r="V13" s="69"/>
      <c r="W13" s="38"/>
      <c r="X13" s="68"/>
      <c r="Y13" s="69"/>
      <c r="Z13" s="67"/>
      <c r="AA13" s="83">
        <f t="shared" si="0"/>
        <v>4500</v>
      </c>
      <c r="AB13" s="85"/>
      <c r="AD13" s="14"/>
      <c r="AE13" s="14"/>
    </row>
    <row r="14" spans="1:31" ht="23.4" customHeight="1" x14ac:dyDescent="0.3">
      <c r="A14" s="105"/>
      <c r="B14" s="106"/>
      <c r="C14" s="67" t="s">
        <v>67</v>
      </c>
      <c r="D14" s="67" t="str">
        <f>IF('Wages Calculator'!C18=0," ",'Wages Calculator'!C18)</f>
        <v>Qadeer</v>
      </c>
      <c r="E14" s="67"/>
      <c r="F14" s="68"/>
      <c r="G14" s="69"/>
      <c r="H14" s="38"/>
      <c r="I14" s="68"/>
      <c r="J14" s="69"/>
      <c r="K14" s="38"/>
      <c r="L14" s="68"/>
      <c r="M14" s="69"/>
      <c r="N14" s="38"/>
      <c r="O14" s="68"/>
      <c r="P14" s="69"/>
      <c r="Q14" s="38"/>
      <c r="R14" s="68"/>
      <c r="S14" s="69"/>
      <c r="T14" s="38"/>
      <c r="U14" s="68"/>
      <c r="V14" s="69"/>
      <c r="W14" s="38"/>
      <c r="X14" s="68"/>
      <c r="Y14" s="69"/>
      <c r="Z14" s="67"/>
      <c r="AA14" s="83" t="str">
        <f t="shared" si="0"/>
        <v xml:space="preserve"> </v>
      </c>
    </row>
    <row r="15" spans="1:31" ht="23.4" customHeight="1" x14ac:dyDescent="0.3">
      <c r="A15" s="105"/>
      <c r="B15" s="106"/>
      <c r="C15" s="67" t="s">
        <v>67</v>
      </c>
      <c r="D15" s="67" t="str">
        <f>IF('Wages Calculator'!C19=0," ",'Wages Calculator'!C19)</f>
        <v>Javaid</v>
      </c>
      <c r="E15" s="67"/>
      <c r="F15" s="68"/>
      <c r="G15" s="69"/>
      <c r="H15" s="38"/>
      <c r="I15" s="68"/>
      <c r="J15" s="69"/>
      <c r="K15" s="38"/>
      <c r="L15" s="68"/>
      <c r="M15" s="69"/>
      <c r="N15" s="38"/>
      <c r="O15" s="68"/>
      <c r="P15" s="69"/>
      <c r="Q15" s="38"/>
      <c r="R15" s="5"/>
      <c r="S15" s="19"/>
      <c r="T15" s="38"/>
      <c r="U15" s="68"/>
      <c r="V15" s="69"/>
      <c r="W15" s="38"/>
      <c r="X15" s="68"/>
      <c r="Y15" s="69"/>
      <c r="Z15" s="67"/>
      <c r="AA15" s="83" t="str">
        <f t="shared" si="0"/>
        <v xml:space="preserve"> </v>
      </c>
    </row>
    <row r="16" spans="1:31" ht="23.4" customHeight="1" x14ac:dyDescent="0.3">
      <c r="A16" s="105"/>
      <c r="B16" s="106"/>
      <c r="C16" s="67" t="s">
        <v>67</v>
      </c>
      <c r="D16" s="67" t="str">
        <f>IF('Wages Calculator'!C20=0," ",'Wages Calculator'!C20)</f>
        <v>Amir</v>
      </c>
      <c r="E16" s="67"/>
      <c r="F16" s="5"/>
      <c r="G16" s="19"/>
      <c r="H16" s="38"/>
      <c r="I16" s="5"/>
      <c r="J16" s="19"/>
      <c r="K16" s="38"/>
      <c r="L16" s="5"/>
      <c r="M16" s="19"/>
      <c r="N16" s="38"/>
      <c r="O16" s="5"/>
      <c r="P16" s="19"/>
      <c r="Q16" s="38"/>
      <c r="R16" s="5"/>
      <c r="S16" s="19"/>
      <c r="T16" s="38"/>
      <c r="U16" s="5"/>
      <c r="V16" s="19"/>
      <c r="W16" s="38"/>
      <c r="X16" s="5"/>
      <c r="Y16" s="19"/>
      <c r="Z16" s="67"/>
      <c r="AA16" s="83" t="str">
        <f t="shared" si="0"/>
        <v xml:space="preserve"> </v>
      </c>
    </row>
    <row r="17" spans="1:29" ht="23.4" customHeight="1" x14ac:dyDescent="0.3">
      <c r="A17" s="105"/>
      <c r="B17" s="106"/>
      <c r="C17" s="67" t="s">
        <v>67</v>
      </c>
      <c r="D17" s="67" t="str">
        <f>IF('Wages Calculator'!C21=0," ",'Wages Calculator'!C21)</f>
        <v>Saeed</v>
      </c>
      <c r="E17" s="67"/>
      <c r="F17" s="5"/>
      <c r="G17" s="19"/>
      <c r="H17" s="38"/>
      <c r="I17" s="5"/>
      <c r="J17" s="19"/>
      <c r="K17" s="38"/>
      <c r="L17" s="5"/>
      <c r="M17" s="19"/>
      <c r="N17" s="38"/>
      <c r="O17" s="5"/>
      <c r="P17" s="19"/>
      <c r="Q17" s="38"/>
      <c r="R17" s="5"/>
      <c r="S17" s="19"/>
      <c r="T17" s="38"/>
      <c r="U17" s="5"/>
      <c r="V17" s="19"/>
      <c r="W17" s="38"/>
      <c r="X17" s="5"/>
      <c r="Y17" s="19"/>
      <c r="Z17" s="67"/>
      <c r="AA17" s="83" t="str">
        <f t="shared" si="0"/>
        <v xml:space="preserve"> </v>
      </c>
    </row>
    <row r="18" spans="1:29" ht="23.4" customHeight="1" x14ac:dyDescent="0.3">
      <c r="A18" s="105"/>
      <c r="B18" s="106"/>
      <c r="C18" s="67" t="s">
        <v>67</v>
      </c>
      <c r="D18" s="67" t="str">
        <f>IF('Wages Calculator'!C22=0," ",'Wages Calculator'!C22)</f>
        <v>Muzammil</v>
      </c>
      <c r="E18" s="67"/>
      <c r="F18" s="5"/>
      <c r="G18" s="19"/>
      <c r="H18" s="38"/>
      <c r="I18" s="5"/>
      <c r="J18" s="19"/>
      <c r="K18" s="38"/>
      <c r="L18" s="5"/>
      <c r="M18" s="19"/>
      <c r="N18" s="38"/>
      <c r="O18" s="5"/>
      <c r="P18" s="19"/>
      <c r="Q18" s="38"/>
      <c r="R18" s="5"/>
      <c r="S18" s="19"/>
      <c r="T18" s="38"/>
      <c r="U18" s="5"/>
      <c r="V18" s="19"/>
      <c r="W18" s="38"/>
      <c r="X18" s="5"/>
      <c r="Y18" s="19"/>
      <c r="Z18" s="67"/>
      <c r="AA18" s="83" t="str">
        <f t="shared" si="0"/>
        <v xml:space="preserve"> </v>
      </c>
    </row>
    <row r="19" spans="1:29" ht="23.4" customHeight="1" x14ac:dyDescent="0.3">
      <c r="A19" s="105"/>
      <c r="B19" s="106"/>
      <c r="C19" s="67" t="s">
        <v>67</v>
      </c>
      <c r="D19" s="67" t="str">
        <f>IF('Wages Calculator'!C23=0," ",'Wages Calculator'!C23)</f>
        <v>Shakeel</v>
      </c>
      <c r="E19" s="67"/>
      <c r="F19" s="5"/>
      <c r="G19" s="19"/>
      <c r="H19" s="38"/>
      <c r="I19" s="5"/>
      <c r="J19" s="19"/>
      <c r="K19" s="38"/>
      <c r="L19" s="5"/>
      <c r="M19" s="19"/>
      <c r="N19" s="38"/>
      <c r="O19" s="5"/>
      <c r="P19" s="19"/>
      <c r="Q19" s="38"/>
      <c r="R19" s="5"/>
      <c r="S19" s="19"/>
      <c r="T19" s="38"/>
      <c r="U19" s="5"/>
      <c r="V19" s="19"/>
      <c r="W19" s="38"/>
      <c r="X19" s="5"/>
      <c r="Y19" s="19"/>
      <c r="Z19" s="67"/>
      <c r="AA19" s="83" t="str">
        <f t="shared" si="0"/>
        <v xml:space="preserve"> </v>
      </c>
    </row>
    <row r="20" spans="1:29" ht="23.4" customHeight="1" x14ac:dyDescent="0.3">
      <c r="A20" s="105"/>
      <c r="B20" s="106"/>
      <c r="C20" s="67" t="s">
        <v>67</v>
      </c>
      <c r="D20" s="67" t="str">
        <f>IF('Wages Calculator'!C24=0," ",'Wages Calculator'!C24)</f>
        <v>Gulam Hussain</v>
      </c>
      <c r="E20" s="67"/>
      <c r="F20" s="5"/>
      <c r="G20" s="19"/>
      <c r="H20" s="38"/>
      <c r="I20" s="5"/>
      <c r="J20" s="19"/>
      <c r="K20" s="38"/>
      <c r="L20" s="5"/>
      <c r="M20" s="19"/>
      <c r="N20" s="38"/>
      <c r="O20" s="5"/>
      <c r="P20" s="19"/>
      <c r="Q20" s="38"/>
      <c r="R20" s="5"/>
      <c r="S20" s="19"/>
      <c r="T20" s="38"/>
      <c r="U20" s="5"/>
      <c r="V20" s="19"/>
      <c r="W20" s="38"/>
      <c r="X20" s="5"/>
      <c r="Y20" s="19"/>
      <c r="Z20" s="67"/>
      <c r="AA20" s="83" t="str">
        <f t="shared" si="0"/>
        <v xml:space="preserve"> </v>
      </c>
    </row>
    <row r="21" spans="1:29" ht="23.4" customHeight="1" x14ac:dyDescent="0.3">
      <c r="A21" s="105"/>
      <c r="B21" s="106"/>
      <c r="C21" s="67" t="s">
        <v>67</v>
      </c>
      <c r="D21" s="67" t="str">
        <f>IF('Wages Calculator'!C25=0," ",'Wages Calculator'!C25)</f>
        <v>Wajid</v>
      </c>
      <c r="E21" s="67"/>
      <c r="F21" s="5"/>
      <c r="G21" s="19"/>
      <c r="H21" s="38"/>
      <c r="I21" s="5"/>
      <c r="J21" s="19"/>
      <c r="K21" s="38"/>
      <c r="L21" s="5"/>
      <c r="M21" s="19"/>
      <c r="N21" s="38"/>
      <c r="O21" s="5"/>
      <c r="P21" s="19"/>
      <c r="Q21" s="38"/>
      <c r="R21" s="5"/>
      <c r="S21" s="19"/>
      <c r="T21" s="38"/>
      <c r="U21" s="5"/>
      <c r="V21" s="19"/>
      <c r="W21" s="38"/>
      <c r="X21" s="68"/>
      <c r="Y21" s="69"/>
      <c r="Z21" s="67"/>
      <c r="AA21" s="83" t="str">
        <f t="shared" si="0"/>
        <v xml:space="preserve"> </v>
      </c>
    </row>
    <row r="22" spans="1:29" ht="23.4" customHeight="1" x14ac:dyDescent="0.3">
      <c r="A22" s="105"/>
      <c r="B22" s="106"/>
      <c r="C22" s="67" t="s">
        <v>67</v>
      </c>
      <c r="D22" s="67" t="str">
        <f>IF('Wages Calculator'!C26=0," ",'Wages Calculator'!C26)</f>
        <v>Ahsan</v>
      </c>
      <c r="E22" s="67"/>
      <c r="F22" s="5"/>
      <c r="G22" s="19"/>
      <c r="H22" s="38"/>
      <c r="I22" s="5"/>
      <c r="J22" s="19"/>
      <c r="K22" s="38"/>
      <c r="L22" s="68"/>
      <c r="M22" s="69"/>
      <c r="N22" s="38"/>
      <c r="O22" s="5"/>
      <c r="P22" s="19"/>
      <c r="Q22" s="38"/>
      <c r="R22" s="5"/>
      <c r="S22" s="19"/>
      <c r="T22" s="38"/>
      <c r="U22" s="5"/>
      <c r="V22" s="19"/>
      <c r="W22" s="38"/>
      <c r="X22" s="68"/>
      <c r="Y22" s="69"/>
      <c r="Z22" s="67"/>
      <c r="AA22" s="83" t="str">
        <f t="shared" si="0"/>
        <v xml:space="preserve"> </v>
      </c>
    </row>
    <row r="23" spans="1:29" ht="23.4" customHeight="1" x14ac:dyDescent="0.3">
      <c r="A23" s="105"/>
      <c r="B23" s="106"/>
      <c r="C23" s="67" t="s">
        <v>67</v>
      </c>
      <c r="D23" s="67" t="str">
        <f>IF('Wages Calculator'!C27=0," ",'Wages Calculator'!C27)</f>
        <v>Zeeshan</v>
      </c>
      <c r="E23" s="67"/>
      <c r="F23" s="68"/>
      <c r="G23" s="69"/>
      <c r="H23" s="38"/>
      <c r="I23" s="5"/>
      <c r="J23" s="19"/>
      <c r="K23" s="38"/>
      <c r="L23" s="5"/>
      <c r="M23" s="19"/>
      <c r="N23" s="38"/>
      <c r="O23" s="5"/>
      <c r="P23" s="19"/>
      <c r="Q23" s="38"/>
      <c r="R23" s="5"/>
      <c r="S23" s="19"/>
      <c r="T23" s="38"/>
      <c r="U23" s="5"/>
      <c r="V23" s="19"/>
      <c r="W23" s="38"/>
      <c r="X23" s="5"/>
      <c r="Y23" s="19"/>
      <c r="Z23" s="67"/>
      <c r="AA23" s="83" t="str">
        <f t="shared" si="0"/>
        <v xml:space="preserve"> </v>
      </c>
    </row>
    <row r="24" spans="1:29" ht="23.4" customHeight="1" x14ac:dyDescent="0.3">
      <c r="A24" s="105"/>
      <c r="B24" s="106"/>
      <c r="C24" s="67" t="s">
        <v>67</v>
      </c>
      <c r="D24" s="67" t="str">
        <f>IF('Wages Calculator'!C28=0," ",'Wages Calculator'!C28)</f>
        <v xml:space="preserve"> </v>
      </c>
      <c r="E24" s="67"/>
      <c r="F24" s="5"/>
      <c r="G24" s="19"/>
      <c r="H24" s="38"/>
      <c r="I24" s="5"/>
      <c r="J24" s="19"/>
      <c r="K24" s="38"/>
      <c r="L24" s="5"/>
      <c r="M24" s="19"/>
      <c r="N24" s="38"/>
      <c r="O24" s="5"/>
      <c r="P24" s="19"/>
      <c r="Q24" s="38"/>
      <c r="R24" s="5"/>
      <c r="S24" s="19"/>
      <c r="T24" s="38"/>
      <c r="U24" s="5"/>
      <c r="V24" s="19"/>
      <c r="W24" s="38"/>
      <c r="X24" s="5"/>
      <c r="Y24" s="19"/>
      <c r="Z24" s="67"/>
      <c r="AA24" s="83" t="str">
        <f t="shared" si="0"/>
        <v xml:space="preserve"> </v>
      </c>
    </row>
    <row r="25" spans="1:29" ht="23.4" customHeight="1" x14ac:dyDescent="0.3">
      <c r="A25" s="105"/>
      <c r="B25" s="106"/>
      <c r="C25" s="67" t="s">
        <v>67</v>
      </c>
      <c r="D25" s="67" t="str">
        <f>IF('Wages Calculator'!C29=0," ",'Wages Calculator'!C29)</f>
        <v xml:space="preserve"> </v>
      </c>
      <c r="E25" s="67"/>
      <c r="F25" s="5"/>
      <c r="G25" s="19"/>
      <c r="H25" s="38"/>
      <c r="I25" s="5"/>
      <c r="J25" s="19"/>
      <c r="K25" s="38"/>
      <c r="L25" s="5"/>
      <c r="M25" s="19"/>
      <c r="N25" s="38"/>
      <c r="O25" s="5"/>
      <c r="P25" s="19"/>
      <c r="Q25" s="38"/>
      <c r="R25" s="5"/>
      <c r="S25" s="19"/>
      <c r="T25" s="38"/>
      <c r="U25" s="5"/>
      <c r="V25" s="19"/>
      <c r="W25" s="38"/>
      <c r="X25" s="5"/>
      <c r="Y25" s="19"/>
      <c r="Z25" s="67"/>
      <c r="AA25" s="83" t="str">
        <f t="shared" si="0"/>
        <v xml:space="preserve"> </v>
      </c>
    </row>
    <row r="26" spans="1:29" ht="23.4" customHeight="1" x14ac:dyDescent="0.3">
      <c r="A26" s="105"/>
      <c r="B26" s="106"/>
      <c r="C26" s="67" t="s">
        <v>67</v>
      </c>
      <c r="D26" s="67" t="str">
        <f>IF('Wages Calculator'!C30=0," ",'Wages Calculator'!C30)</f>
        <v xml:space="preserve"> </v>
      </c>
      <c r="E26" s="67"/>
      <c r="F26" s="5"/>
      <c r="G26" s="19"/>
      <c r="H26" s="38"/>
      <c r="I26" s="5"/>
      <c r="J26" s="19"/>
      <c r="K26" s="38"/>
      <c r="L26" s="5"/>
      <c r="M26" s="19"/>
      <c r="N26" s="38"/>
      <c r="O26" s="5"/>
      <c r="P26" s="19"/>
      <c r="Q26" s="38"/>
      <c r="R26" s="5"/>
      <c r="S26" s="19"/>
      <c r="T26" s="38"/>
      <c r="U26" s="5"/>
      <c r="V26" s="19"/>
      <c r="W26" s="38"/>
      <c r="X26" s="5"/>
      <c r="Y26" s="19"/>
      <c r="Z26" s="67"/>
      <c r="AA26" s="83" t="str">
        <f t="shared" si="0"/>
        <v xml:space="preserve"> </v>
      </c>
    </row>
    <row r="27" spans="1:29" ht="23.4" customHeight="1" thickBot="1" x14ac:dyDescent="0.35">
      <c r="A27" s="107"/>
      <c r="B27" s="108"/>
      <c r="C27" s="52" t="s">
        <v>67</v>
      </c>
      <c r="D27" s="52" t="str">
        <f>IF('Wages Calculator'!C31=0," ",'Wages Calculator'!C31)</f>
        <v xml:space="preserve"> </v>
      </c>
      <c r="E27" s="52"/>
      <c r="F27" s="6"/>
      <c r="G27" s="17"/>
      <c r="H27" s="39"/>
      <c r="I27" s="6"/>
      <c r="J27" s="17"/>
      <c r="K27" s="39"/>
      <c r="L27" s="6"/>
      <c r="M27" s="17"/>
      <c r="N27" s="39"/>
      <c r="O27" s="6"/>
      <c r="P27" s="17"/>
      <c r="Q27" s="39"/>
      <c r="R27" s="6"/>
      <c r="S27" s="17"/>
      <c r="T27" s="39"/>
      <c r="U27" s="6"/>
      <c r="V27" s="17"/>
      <c r="W27" s="39"/>
      <c r="X27" s="6"/>
      <c r="Y27" s="59"/>
      <c r="Z27" s="52"/>
      <c r="AA27" s="84" t="str">
        <f t="shared" si="0"/>
        <v xml:space="preserve"> </v>
      </c>
    </row>
    <row r="28" spans="1:29" ht="25.8" customHeight="1" x14ac:dyDescent="0.3">
      <c r="A28" s="139"/>
      <c r="B28" s="139"/>
      <c r="C28" s="143" t="str">
        <f>"Grand Total"&amp;"     "</f>
        <v xml:space="preserve">Grand Total     </v>
      </c>
      <c r="D28" s="144"/>
      <c r="E28" s="144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5"/>
      <c r="AA28" s="141">
        <f>SUM(AA10:AA27)</f>
        <v>9000</v>
      </c>
    </row>
    <row r="29" spans="1:29" ht="25.8" customHeight="1" thickBot="1" x14ac:dyDescent="0.35">
      <c r="A29" s="140"/>
      <c r="B29" s="140"/>
      <c r="C29" s="146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8"/>
      <c r="AA29" s="142"/>
      <c r="AC29" s="85"/>
    </row>
    <row r="30" spans="1:29" ht="25.8" customHeight="1" x14ac:dyDescent="0.3"/>
    <row r="31" spans="1:29" ht="25.8" customHeight="1" x14ac:dyDescent="0.3"/>
    <row r="35" spans="4:19" ht="14.4" thickBot="1" x14ac:dyDescent="0.35">
      <c r="D35" s="14"/>
    </row>
    <row r="36" spans="4:19" ht="13.8" customHeight="1" x14ac:dyDescent="0.3">
      <c r="D36" s="14"/>
      <c r="E36" s="103"/>
      <c r="F36" s="104"/>
      <c r="G36" s="130"/>
      <c r="H36" s="131"/>
      <c r="I36" s="132"/>
      <c r="J36" s="121" t="s">
        <v>68</v>
      </c>
      <c r="K36" s="122"/>
      <c r="L36" s="122"/>
      <c r="M36" s="123"/>
      <c r="P36" s="103"/>
      <c r="Q36" s="139"/>
      <c r="R36" s="139"/>
      <c r="S36" s="104"/>
    </row>
    <row r="37" spans="4:19" ht="13.8" customHeight="1" x14ac:dyDescent="0.3">
      <c r="D37" s="14"/>
      <c r="E37" s="105"/>
      <c r="F37" s="106"/>
      <c r="G37" s="133"/>
      <c r="H37" s="134"/>
      <c r="I37" s="135"/>
      <c r="J37" s="124"/>
      <c r="K37" s="125"/>
      <c r="L37" s="125"/>
      <c r="M37" s="126"/>
      <c r="P37" s="105"/>
      <c r="Q37" s="140"/>
      <c r="R37" s="140"/>
      <c r="S37" s="106"/>
    </row>
    <row r="38" spans="4:19" ht="13.8" customHeight="1" x14ac:dyDescent="0.3">
      <c r="D38" s="14"/>
      <c r="E38" s="105"/>
      <c r="F38" s="106"/>
      <c r="G38" s="133"/>
      <c r="H38" s="134"/>
      <c r="I38" s="135"/>
      <c r="J38" s="124"/>
      <c r="K38" s="125"/>
      <c r="L38" s="125"/>
      <c r="M38" s="126"/>
      <c r="P38" s="105"/>
      <c r="Q38" s="140"/>
      <c r="R38" s="140"/>
      <c r="S38" s="106"/>
    </row>
    <row r="39" spans="4:19" ht="14.4" customHeight="1" thickBot="1" x14ac:dyDescent="0.35">
      <c r="D39" s="14"/>
      <c r="E39" s="107"/>
      <c r="F39" s="108"/>
      <c r="G39" s="136"/>
      <c r="H39" s="137"/>
      <c r="I39" s="138"/>
      <c r="J39" s="127"/>
      <c r="K39" s="128"/>
      <c r="L39" s="128"/>
      <c r="M39" s="129"/>
      <c r="P39" s="107"/>
      <c r="Q39" s="149"/>
      <c r="R39" s="149"/>
      <c r="S39" s="108"/>
    </row>
    <row r="40" spans="4:19" x14ac:dyDescent="0.3">
      <c r="D40" s="14"/>
    </row>
  </sheetData>
  <mergeCells count="29">
    <mergeCell ref="E36:F39"/>
    <mergeCell ref="J36:M39"/>
    <mergeCell ref="G36:I39"/>
    <mergeCell ref="A28:B29"/>
    <mergeCell ref="AA28:AA29"/>
    <mergeCell ref="C28:Z29"/>
    <mergeCell ref="P36:S39"/>
    <mergeCell ref="C4:AA5"/>
    <mergeCell ref="C6:AA6"/>
    <mergeCell ref="A7:B27"/>
    <mergeCell ref="C7:C9"/>
    <mergeCell ref="X7:Y7"/>
    <mergeCell ref="D7:D9"/>
    <mergeCell ref="F8:G8"/>
    <mergeCell ref="I8:J8"/>
    <mergeCell ref="L8:M8"/>
    <mergeCell ref="O8:P8"/>
    <mergeCell ref="R8:S8"/>
    <mergeCell ref="U8:V8"/>
    <mergeCell ref="X8:Y8"/>
    <mergeCell ref="E7:E9"/>
    <mergeCell ref="U7:W7"/>
    <mergeCell ref="F7:H7"/>
    <mergeCell ref="I7:K7"/>
    <mergeCell ref="L7:N7"/>
    <mergeCell ref="O7:Q7"/>
    <mergeCell ref="R7:T7"/>
    <mergeCell ref="AA7:AA8"/>
    <mergeCell ref="Z7:Z8"/>
  </mergeCells>
  <dataValidations disablePrompts="1" count="1">
    <dataValidation type="list" allowBlank="1" showInputMessage="1" showErrorMessage="1" sqref="E10:E27" xr:uid="{AC0E7268-2DB4-4512-A563-DA6249D11EBB}">
      <formula1>"Labour,Mason"</formula1>
    </dataValidation>
  </dataValidations>
  <printOptions horizontalCentered="1" verticalCentered="1"/>
  <pageMargins left="0.18" right="0" top="0" bottom="0" header="0" footer="0"/>
  <pageSetup paperSize="9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PythonFunctionwagespy">
                <anchor moveWithCells="1" sizeWithCells="1">
                  <from>
                    <xdr:col>0</xdr:col>
                    <xdr:colOff>53340</xdr:colOff>
                    <xdr:row>6</xdr:row>
                    <xdr:rowOff>68580</xdr:rowOff>
                  </from>
                  <to>
                    <xdr:col>1</xdr:col>
                    <xdr:colOff>533400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 macro="[0]!Sheet3.Sheet3_save_data">
                <anchor moveWithCells="1">
                  <from>
                    <xdr:col>4</xdr:col>
                    <xdr:colOff>38100</xdr:colOff>
                    <xdr:row>35</xdr:row>
                    <xdr:rowOff>22860</xdr:rowOff>
                  </from>
                  <to>
                    <xdr:col>5</xdr:col>
                    <xdr:colOff>838200</xdr:colOff>
                    <xdr:row>36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ion Button 3">
              <controlPr defaultSize="0" autoFill="0" autoLine="0" autoPict="0" macro="[0]!Sheet3.Sheet3_save_data">
                <anchor moveWithCells="1">
                  <from>
                    <xdr:col>4</xdr:col>
                    <xdr:colOff>45720</xdr:colOff>
                    <xdr:row>36</xdr:row>
                    <xdr:rowOff>144780</xdr:rowOff>
                  </from>
                  <to>
                    <xdr:col>5</xdr:col>
                    <xdr:colOff>845820</xdr:colOff>
                    <xdr:row>38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utton4_Click">
                <anchor moveWithCells="1" sizeWithCells="1">
                  <from>
                    <xdr:col>6</xdr:col>
                    <xdr:colOff>38100</xdr:colOff>
                    <xdr:row>35</xdr:row>
                    <xdr:rowOff>45720</xdr:rowOff>
                  </from>
                  <to>
                    <xdr:col>8</xdr:col>
                    <xdr:colOff>853440</xdr:colOff>
                    <xdr:row>38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ClearData1">
                <anchor moveWithCells="1" sizeWithCells="1">
                  <from>
                    <xdr:col>15</xdr:col>
                    <xdr:colOff>53340</xdr:colOff>
                    <xdr:row>35</xdr:row>
                    <xdr:rowOff>45720</xdr:rowOff>
                  </from>
                  <to>
                    <xdr:col>18</xdr:col>
                    <xdr:colOff>792480</xdr:colOff>
                    <xdr:row>38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Wages Calculator</vt:lpstr>
      <vt:lpstr>Imp Tables</vt:lpstr>
      <vt:lpstr>Total Wages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Ahmar Shah</dc:creator>
  <cp:lastModifiedBy>Ahmar Shah</cp:lastModifiedBy>
  <cp:lastPrinted>2026-05-03T13:16:12Z</cp:lastPrinted>
  <dcterms:created xsi:type="dcterms:W3CDTF">2026-04-06T11:48:38Z</dcterms:created>
  <dcterms:modified xsi:type="dcterms:W3CDTF">2026-05-07T07:56:01Z</dcterms:modified>
</cp:coreProperties>
</file>